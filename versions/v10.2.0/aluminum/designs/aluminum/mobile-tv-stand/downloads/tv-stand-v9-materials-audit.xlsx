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20c8460b2049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材料总表" sheetId="1" r:id="R9350af4620c14ab4"/>
    <x:sheet xmlns:r="http://schemas.openxmlformats.org/officeDocument/2006/relationships" name="型材与拉线" sheetId="2" r:id="R887cd4f4a0384164"/>
    <x:sheet xmlns:r="http://schemas.openxmlformats.org/officeDocument/2006/relationships" name="连接节点" sheetId="3" r:id="R5c76d023b039467e"/>
    <x:sheet xmlns:r="http://schemas.openxmlformats.org/officeDocument/2006/relationships" name="核对记录" sheetId="4" r:id="R4027597e9e284f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#,##0.0"/>
    <x:numFmt numFmtId="202" formatCode="0"/>
    <x:numFmt numFmtId="203" formatCode="0.000"/>
    <x:numFmt numFmtId="204" formatCode="0.0"/>
  </x:numFmts>
  <x:fonts count="6">
    <x:font>
      <x:sz val="11"/>
      <x:name val="Carlito"/>
    </x:font>
    <x:font>
      <x:sz val="10"/>
      <x:color rgb="FF30343B"/>
      <x:name val="Arial"/>
    </x:font>
    <x:font>
      <x:b/>
      <x:sz val="15"/>
      <x:color rgb="FF30343B"/>
      <x:name val="Arial"/>
    </x:font>
    <x:font>
      <x:sz val="10"/>
      <x:color rgb="FF9C263D"/>
      <x:name val="Arial"/>
    </x:font>
    <x:font>
      <x:sz val="10"/>
      <x:color rgb="FF646B73"/>
      <x:name val="Arial"/>
    </x:font>
    <x:font>
      <x:b/>
      <x:sz val="10"/>
      <x:color rgb="FF30343B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EEFF1"/>
      </x:patternFill>
    </x:fill>
    <x:fill>
      <x:patternFill patternType="solid">
        <x:fgColor rgb="FFFFF9E9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hair">
        <x:color rgb="FFE8E8EA"/>
      </x:bottom>
      <x:diagonal/>
    </x:border>
    <x:border>
      <x:left/>
      <x:right/>
      <x:top style="hair">
        <x:color rgb="FFE8E8EA"/>
      </x:top>
      <x:bottom style="hair">
        <x:color rgb="FFE8E8EA"/>
      </x:bottom>
      <x:diagonal/>
    </x:border>
    <x:border>
      <x:left/>
      <x:right/>
      <x:top style="hair">
        <x:color rgb="FFE8E8EA"/>
      </x:top>
      <x:bottom/>
      <x:diagonal/>
    </x:border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200" fontId="1" fillId="0" borderId="2" xfId="0" applyNumberFormat="1" applyFont="1" applyFill="1" applyBorder="1" applyAlignment="1">
      <x:alignment vertical="center" wrapText="1"/>
    </x:xf>
    <x:xf numFmtId="200" fontId="1" fillId="0" borderId="3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horizontal="right" vertical="center" wrapText="1"/>
    </x:xf>
    <x:xf numFmtId="200" fontId="1" fillId="0" borderId="2" xfId="0" applyNumberFormat="1" applyFont="1" applyFill="1" applyBorder="1" applyAlignment="1">
      <x:alignment horizontal="right" vertical="center" wrapText="1"/>
    </x:xf>
    <x:xf numFmtId="200" fontId="1" fillId="0" borderId="3" xfId="0" applyNumberFormat="1" applyFont="1" applyFill="1" applyBorder="1" applyAlignment="1">
      <x:alignment horizontal="right"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1" fillId="3" borderId="2" xfId="0" applyNumberFormat="1" applyFont="1" applyFill="1" applyBorder="1" applyAlignment="1">
      <x:alignment vertical="center" wrapText="1"/>
    </x:xf>
    <x:xf numFmtId="0" fontId="1" fillId="3" borderId="3" xfId="0" applyNumberFormat="1" applyFont="1" applyFill="1" applyBorder="1" applyAlignment="1">
      <x:alignment vertical="center" wrapText="1"/>
    </x:xf>
    <x:xf numFmtId="201" fontId="1" fillId="0" borderId="1" xfId="0" applyNumberFormat="1" applyFont="1" applyFill="1" applyBorder="1" applyAlignment="1">
      <x:alignment vertical="center" wrapText="1"/>
    </x:xf>
    <x:xf numFmtId="201" fontId="1" fillId="0" borderId="2" xfId="0" applyNumberFormat="1" applyFont="1" applyFill="1" applyBorder="1" applyAlignment="1">
      <x:alignment vertical="center" wrapText="1"/>
    </x:xf>
    <x:xf numFmtId="201" fontId="1" fillId="0" borderId="3" xfId="0" applyNumberFormat="1" applyFont="1" applyFill="1" applyBorder="1" applyAlignment="1">
      <x:alignment vertical="center" wrapText="1"/>
    </x:xf>
    <x:xf numFmtId="202" fontId="1" fillId="0" borderId="1" xfId="0" applyNumberFormat="1" applyFont="1" applyFill="1" applyBorder="1" applyAlignment="1">
      <x:alignment vertical="center" wrapText="1"/>
    </x:xf>
    <x:xf numFmtId="202" fontId="1" fillId="0" borderId="2" xfId="0" applyNumberFormat="1" applyFont="1" applyFill="1" applyBorder="1" applyAlignment="1">
      <x:alignment vertical="center" wrapText="1"/>
    </x:xf>
    <x:xf numFmtId="202" fontId="1" fillId="0" borderId="3" xfId="0" applyNumberFormat="1" applyFont="1" applyFill="1" applyBorder="1" applyAlignment="1">
      <x:alignment vertical="center" wrapText="1"/>
    </x:xf>
    <x:xf numFmtId="203" fontId="1" fillId="0" borderId="1" xfId="0" applyNumberFormat="1" applyFont="1" applyFill="1" applyBorder="1" applyAlignment="1">
      <x:alignment vertical="center" wrapText="1"/>
    </x:xf>
    <x:xf numFmtId="203" fontId="1" fillId="0" borderId="2" xfId="0" applyNumberFormat="1" applyFont="1" applyFill="1" applyBorder="1" applyAlignment="1">
      <x:alignment vertical="center" wrapText="1"/>
    </x:xf>
    <x:xf numFmtId="203" fontId="1" fillId="0" borderId="3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/>
    </x:xf>
    <x:xf numFmtId="200" fontId="1" fillId="3" borderId="1" xfId="0" applyNumberFormat="1" applyFont="1" applyFill="1" applyBorder="1" applyAlignment="1">
      <x:alignment vertical="center" wrapText="1"/>
    </x:xf>
    <x:xf numFmtId="200" fontId="1" fillId="3" borderId="2" xfId="0" applyNumberFormat="1" applyFont="1" applyFill="1" applyBorder="1" applyAlignment="1">
      <x:alignment vertical="center" wrapText="1"/>
    </x:xf>
    <x:xf numFmtId="200" fontId="1" fillId="3" borderId="3" xfId="0" applyNumberFormat="1" applyFont="1" applyFill="1" applyBorder="1" applyAlignment="1">
      <x:alignment vertical="center" wrapText="1"/>
    </x:xf>
    <x:xf numFmtId="204" fontId="1" fillId="0" borderId="1" xfId="0" applyNumberFormat="1" applyFont="1" applyFill="1" applyBorder="1" applyAlignment="1">
      <x:alignment vertical="center" wrapText="1"/>
    </x:xf>
    <x:xf numFmtId="204" fontId="1" fillId="0" borderId="2" xfId="0" applyNumberFormat="1" applyFont="1" applyFill="1" applyBorder="1" applyAlignment="1">
      <x:alignment vertical="center" wrapText="1"/>
    </x:xf>
    <x:xf numFmtId="204" fontId="1" fillId="0" borderId="3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ont>
        <x:b/>
        <x:color rgb="FF9C263D"/>
      </x:font>
      <x:fill>
        <x:patternFill patternType="solid">
          <x:bgColor rgb="FFFBE8EC"/>
        </x:patternFill>
      </x:fill>
    </x:dxf>
    <x:dxf>
      <x:font>
        <x:color rgb="FF8C5B16"/>
      </x:font>
      <x:fill>
        <x:patternFill patternType="solid">
          <x:bgColor rgb="FFFFF5E6"/>
        </x:patternFill>
      </x:fill>
    </x:dxf>
    <x:dxf>
      <x:font>
        <x:b/>
        <x:color rgb="FF9C263D"/>
      </x:font>
      <x:fill>
        <x:patternFill patternType="solid">
          <x:bgColor rgb="FFFBE8EC"/>
        </x:patternFill>
      </x:fill>
    </x:dxf>
    <x:dxf>
      <x:font>
        <x:color rgb="FF8C5B16"/>
      </x:font>
      <x:fill>
        <x:patternFill patternType="solid">
          <x:bgColor rgb="FFFFF5E6"/>
        </x:patternFill>
      </x:fill>
    </x:dxf>
    <x:dxf>
      <x:font>
        <x:b/>
        <x:color rgb="FF9C263D"/>
      </x:font>
      <x:fill>
        <x:patternFill patternType="solid">
          <x:bgColor rgb="FFFBE8EC"/>
        </x:patternFill>
      </x:fill>
    </x:dxf>
    <x:dxf>
      <x:font>
        <x:color rgb="FF8C5B16"/>
      </x:font>
      <x:fill>
        <x:patternFill patternType="solid">
          <x:bgColor rgb="FFFFF5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b1af3d6b244ef6" /><Relationship Type="http://schemas.openxmlformats.org/officeDocument/2006/relationships/theme" Target="/xl/theme/theme1.xml" Id="R5b892669b1734c73" /><Relationship Type="http://schemas.openxmlformats.org/officeDocument/2006/relationships/sharedStrings" Target="/xl/sharedStrings.xml" Id="Rbb35cb95175941d9" /><Relationship Type="http://schemas.openxmlformats.org/officeDocument/2006/relationships/worksheet" Target="/xl/worksheets/sheet1.xml" Id="R9350af4620c14ab4" /><Relationship Type="http://schemas.openxmlformats.org/officeDocument/2006/relationships/worksheet" Target="/xl/worksheets/sheet2.xml" Id="R887cd4f4a0384164" /><Relationship Type="http://schemas.openxmlformats.org/officeDocument/2006/relationships/worksheet" Target="/xl/worksheets/sheet3.xml" Id="R5c76d023b039467e" /><Relationship Type="http://schemas.openxmlformats.org/officeDocument/2006/relationships/worksheet" Target="/xl/worksheets/sheet4.xml" Id="R4027597e9e284f35" /></Relationships>
</file>

<file path=xl/tables/table1.xml><?xml version="1.0" encoding="utf-8"?>
<x:table xmlns:x="http://schemas.openxmlformats.org/spreadsheetml/2006/main" id="1" name="Materials" displayName="Materials" ref="A7:J84" headerRowCount="1" totalsRowCount="0" totalsRowShown="0">
  <x:autoFilter ref="A7:J84"/>
  <x:tableColumns count="10">
    <x:tableColumn id="1" name="编号"/>
    <x:tableColumn id="2" name="分类"/>
    <x:tableColumn id="3" name="材料或组件"/>
    <x:tableColumn id="4" name="参考规格 / mm"/>
    <x:tableColumn id="5" name="数量"/>
    <x:tableColumn id="6" name="单位"/>
    <x:tableColumn id="7" name="当前状态"/>
    <x:tableColumn id="8" name="核对说明"/>
    <x:tableColumn id="9" name="依据"/>
    <x:tableColumn id="10" name="商家确认型号/尺寸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ProfileCuts" displayName="ProfileCuts" ref="A7:I22" headerRowCount="1" totalsRowCount="0" totalsRowShown="0">
  <x:autoFilter ref="A7:I22"/>
  <x:tableColumns count="9">
    <x:tableColumn id="1" name="组号"/>
    <x:tableColumn id="2" name="截面 / mm"/>
    <x:tableColumn id="3" name="用途"/>
    <x:tableColumn id="4" name="参考单长 / mm"/>
    <x:tableColumn id="5" name="数量"/>
    <x:tableColumn id="6" name="名义总长 / m"/>
    <x:tableColumn id="7" name="长度类别"/>
    <x:tableColumn id="8" name="下料条件"/>
    <x:tableColumn id="9" name="逐件编号"/>
  </x:tableColumns>
  <x:tableStyleInfo name="TableStyleMedium2" showFirstColumn="0" showLastColumn="0" showRowStripes="0" showColumnStripes="0"/>
</x:table>
</file>

<file path=xl/tables/table3.xml><?xml version="1.0" encoding="utf-8"?>
<x:table xmlns:x="http://schemas.openxmlformats.org/spreadsheetml/2006/main" id="3" name="StockPlan" displayName="StockPlan" ref="A29:J37" headerRowCount="1" totalsRowCount="0" totalsRowShown="0">
  <x:autoFilter ref="A29:J37"/>
  <x:tableColumns count="10">
    <x:tableColumn id="1" name="原材号"/>
    <x:tableColumn id="2" name="截面"/>
    <x:tableColumn id="3" name="原材长 / mm"/>
    <x:tableColumn id="4" name="切件组合 / mm"/>
    <x:tableColumn id="5" name="切件净长 / mm"/>
    <x:tableColumn id="6" name="件数"/>
    <x:tableColumn id="7" name="锯缝 / mm"/>
    <x:tableColumn id="8" name="端耗 / mm"/>
    <x:tableColumn id="9" name="余料 / mm"/>
    <x:tableColumn id="10" name="备注"/>
  </x:tableColumns>
  <x:tableStyleInfo name="TableStyleMedium2" showFirstColumn="0" showLastColumn="0" showRowStripes="0" showColumnStripes="0"/>
</x:table>
</file>

<file path=xl/tables/table4.xml><?xml version="1.0" encoding="utf-8"?>
<x:table xmlns:x="http://schemas.openxmlformats.org/spreadsheetml/2006/main" id="4" name="CableBlanks" displayName="CableBlanks" ref="A42:I49" headerRowCount="1" totalsRowCount="0" totalsRowShown="0">
  <x:autoFilter ref="A42:I49"/>
  <x:tableColumns count="9">
    <x:tableColumn id="1" name="组号"/>
    <x:tableColumn id="2" name="用途"/>
    <x:tableColumn id="3" name="外径参考 / mm"/>
    <x:tableColumn id="4" name="锚点中心距 / mm"/>
    <x:tableColumn id="5" name="数量"/>
    <x:tableColumn id="6" name="每端毛坯预留 / mm"/>
    <x:tableColumn id="7" name="单根毛坯 / mm"/>
    <x:tableColumn id="8" name="总毛料 / m"/>
    <x:tableColumn id="9" name="说明"/>
  </x:tableColumns>
  <x:tableStyleInfo name="TableStyleMedium2" showFirstColumn="0" showLastColumn="0" showRowStripes="0" showColumnStripes="0"/>
</x:table>
</file>

<file path=xl/tables/table5.xml><?xml version="1.0" encoding="utf-8"?>
<x:table xmlns:x="http://schemas.openxmlformats.org/spreadsheetml/2006/main" id="5" name="ConnectionNodes" displayName="ConnectionNodes" ref="A7:N33" headerRowCount="1" totalsRowCount="0" totalsRowShown="0">
  <x:autoFilter ref="A7:N33"/>
  <x:tableColumns count="14">
    <x:tableColumn id="1" name="编号"/>
    <x:tableColumn id="2" name="节点"/>
    <x:tableColumn id="3" name="节点数"/>
    <x:tableColumn id="4" name="M8套/节点"/>
    <x:tableColumn id="5" name="M8合计"/>
    <x:tableColumn id="6" name="M6套/节点"/>
    <x:tableColumn id="7" name="M6合计"/>
    <x:tableColumn id="8" name="M5套/节点"/>
    <x:tableColumn id="9" name="M5合计"/>
    <x:tableColumn id="10" name="M4套/节点"/>
    <x:tableColumn id="11" name="M4合计"/>
    <x:tableColumn id="12" name="节点说明"/>
    <x:tableColumn id="13" name="商家型号/长度配置"/>
    <x:tableColumn id="14" name="节点确认"/>
  </x:tableColumns>
  <x:tableStyleInfo name="TableStyleMedium2" showFirstColumn="0" showLastColumn="0" showRowStripes="0" showColumnStripes="0"/>
</x:table>
</file>

<file path=xl/tables/table6.xml><?xml version="1.0" encoding="utf-8"?>
<x:table xmlns:x="http://schemas.openxmlformats.org/spreadsheetml/2006/main" id="6" name="AuditChecks" displayName="AuditChecks" ref="A7:E27" headerRowCount="1" totalsRowCount="0" totalsRowShown="0">
  <x:autoFilter ref="A7:E27"/>
  <x:tableColumns count="5">
    <x:tableColumn id="1" name="编号"/>
    <x:tableColumn id="2" name="结果"/>
    <x:tableColumn id="3" name="核对项目"/>
    <x:tableColumn id="4" name="值或范围"/>
    <x:tableColumn id="5" name="发现与处理"/>
  </x:tableColumns>
  <x:tableStyleInfo name="TableStyleMedium2" showFirstColumn="0" showLastColumn="0" showRowStripes="0" showColumnStripes="0"/>
</x:table>
</file>

<file path=xl/tables/table7.xml><?xml version="1.0" encoding="utf-8"?>
<x:table xmlns:x="http://schemas.openxmlformats.org/spreadsheetml/2006/main" id="7" name="ReferenceSources" displayName="ReferenceSources" ref="A31:E38" headerRowCount="1" totalsRowCount="0" totalsRowShown="0">
  <x:autoFilter ref="A31:E38"/>
  <x:tableColumns count="5">
    <x:tableColumn id="1" name="编号"/>
    <x:tableColumn id="2" name="来源"/>
    <x:tableColumn id="3" name="核对内容"/>
    <x:tableColumn id="4" name="网址"/>
    <x:tableColumn id="5" name="采用范围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65f00030803480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60a19c3f0744e8c" /><Relationship Type="http://schemas.openxmlformats.org/officeDocument/2006/relationships/table" Target="/xl/tables/table3.xml" Id="Rc092a76a70184899" /><Relationship Type="http://schemas.openxmlformats.org/officeDocument/2006/relationships/table" Target="/xl/tables/table4.xml" Id="R5806727e445845e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5.xml" Id="Ree5d853172174be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6.xml" Id="R890074f75c3c427b" /><Relationship Type="http://schemas.openxmlformats.org/officeDocument/2006/relationships/table" Target="/xl/tables/table7.xml" Id="R852c1c51af8146ce" /></Relationships>
</file>

<file path=xl/worksheets/sheet1.xml><?xml version="1.0" encoding="utf-8"?>
<x:worksheet xmlns:x="http://schemas.openxmlformats.org/spreadsheetml/2006/main">
  <x:sheetPr>
    <x:tabColor rgb="FFB96688"/>
  </x:sheetPr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10" hidden="0" customWidth="1"/>
    <x:col min="2" max="2" width="13" hidden="0" customWidth="1"/>
    <x:col min="3" max="3" width="27" hidden="0" customWidth="1"/>
    <x:col min="4" max="4" width="46" hidden="0" customWidth="1"/>
    <x:col min="5" max="5" width="10" hidden="0" customWidth="1"/>
    <x:col min="6" max="6" width="8" hidden="0" customWidth="1"/>
    <x:col min="7" max="7" width="15" hidden="0" customWidth="1"/>
    <x:col min="8" max="8" width="58" hidden="0" customWidth="1"/>
    <x:col min="9" max="9" width="12" hidden="0" customWidth="1"/>
    <x:col min="10" max="10" width="3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>
      <x:c r="A2" s="3" t="str">
        <x:v>V9 电视架材料清单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>
      <x:c r="A3" s="4" t="str">
        <x:v>询价核对版。两根前斜撑及两片侧托板存在干涉，先不要直接下料。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>
      <x:c r="A4" s="5" t="str">
        <x:v>2026-10-19　整体2400×800×1880 mm。数量含架体和收纳配件，不含电视/游戏设备/手办。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</x:row>
    <x:row r="7" ht="32" customHeight="1">
      <x:c r="A7" s="8" t="str">
        <x:v>编号</x:v>
      </x:c>
      <x:c r="B7" s="8" t="str">
        <x:v>分类</x:v>
      </x:c>
      <x:c r="C7" s="8" t="str">
        <x:v>材料或组件</x:v>
      </x:c>
      <x:c r="D7" s="8" t="str">
        <x:v>参考规格 / mm</x:v>
      </x:c>
      <x:c r="E7" s="8" t="str">
        <x:v>数量</x:v>
      </x:c>
      <x:c r="F7" s="8" t="str">
        <x:v>单位</x:v>
      </x:c>
      <x:c r="G7" s="8" t="str">
        <x:v>当前状态</x:v>
      </x:c>
      <x:c r="H7" s="8" t="str">
        <x:v>核对说明</x:v>
      </x:c>
      <x:c r="I7" s="8" t="str">
        <x:v>依据</x:v>
      </x:c>
      <x:c r="J7" s="8" t="str">
        <x:v>商家确认型号/尺寸</x:v>
      </x:c>
    </x:row>
    <x:row r="8" ht="42" customHeight="1">
      <x:c r="A8" s="10" t="str">
        <x:v>AL-A</x:v>
      </x:c>
      <x:c r="B8" s="10" t="str">
        <x:v>型材</x:v>
      </x:c>
      <x:c r="C8" s="10" t="str">
        <x:v>4080 铝型材</x:v>
      </x:c>
      <x:c r="D8" s="10" t="str">
        <x:v>同厂同槽系；80沿所示强轴方向</x:v>
      </x:c>
      <x:c r="E8" s="16" t="n">
        <x:f>SUMIFS('型材与拉线'!$E$8:$E$22,'型材与拉线'!$B$8:$B$22,"40x80")</x:f>
        <x:v>13</x:v>
      </x:c>
      <x:c r="F8" s="10" t="str">
        <x:v>件</x:v>
      </x:c>
      <x:c r="G8" s="10" t="str">
        <x:v>定尺参考</x:v>
      </x:c>
      <x:c r="H8" s="10" t="str">
        <x:v>净长18.220m；13件裸料定尺见型材表，节点确认后冻结。</x:v>
      </x:c>
      <x:c r="I8" s="10" t="str">
        <x:v>S00</x:v>
      </x:c>
      <x:c r="J8" s="19" t="str"/>
    </x:row>
    <x:row r="9" ht="42" customHeight="1">
      <x:c r="A9" s="11" t="str">
        <x:v>AL-B</x:v>
      </x:c>
      <x:c r="B9" s="11" t="str">
        <x:v>型材</x:v>
      </x:c>
      <x:c r="C9" s="11" t="str">
        <x:v>4040 铝型材</x:v>
      </x:c>
      <x:c r="D9" s="11" t="str">
        <x:v>同4080槽系；含2根188高拉线短塔</x:v>
      </x:c>
      <x:c r="E9" s="17" t="n">
        <x:f>SUMIFS('型材与拉线'!$E$8:$E$22,'型材与拉线'!$B$8:$B$22,"40x40")</x:f>
        <x:v>21</x:v>
      </x:c>
      <x:c r="F9" s="11" t="str">
        <x:v>件</x:v>
      </x:c>
      <x:c r="G9" s="11" t="str">
        <x:v>定尺参考</x:v>
      </x:c>
      <x:c r="H9" s="11" t="str">
        <x:v>净长13.016m；两根320侧连接梁涉及斜撑干涉，暂缓下料。</x:v>
      </x:c>
      <x:c r="I9" s="11" t="str">
        <x:v>S00</x:v>
      </x:c>
      <x:c r="J9" s="20" t="str"/>
    </x:row>
    <x:row r="10" ht="42" customHeight="1">
      <x:c r="A10" s="11" t="str">
        <x:v>AL-C</x:v>
      </x:c>
      <x:c r="B10" s="11" t="str">
        <x:v>型材</x:v>
      </x:c>
      <x:c r="C10" s="11" t="str">
        <x:v>2020 铝型材</x:v>
      </x:c>
      <x:c r="D10" s="11" t="str">
        <x:v>上层板下横托；槽系需单独匹配</x:v>
      </x:c>
      <x:c r="E10" s="17" t="n">
        <x:f>SUMIFS('型材与拉线'!$E$8:$E$22,'型材与拉线'!$B$8:$B$22,"20x20")</x:f>
        <x:v>6</x:v>
      </x:c>
      <x:c r="F10" s="11" t="str">
        <x:v>件</x:v>
      </x:c>
      <x:c r="G10" s="11" t="str">
        <x:v>定尺参考</x:v>
      </x:c>
      <x:c r="H10" s="11" t="str">
        <x:v>每根380；净长2.280m；与4040采用转换连接件。</x:v>
      </x:c>
      <x:c r="I10" s="11" t="str">
        <x:v>S00</x:v>
      </x:c>
      <x:c r="J10" s="20" t="str"/>
    </x:row>
    <x:row r="11" ht="42" customHeight="1">
      <x:c r="A11" s="11" t="str">
        <x:v>AL-D</x:v>
      </x:c>
      <x:c r="B11" s="11" t="str">
        <x:v>型材</x:v>
      </x:c>
      <x:c r="C11" s="11" t="str">
        <x:v>3030 刚性侧斜撑</x:v>
      </x:c>
      <x:c r="D11" s="11" t="str">
        <x:v>当前锚点中心距687.4×2、767.6×2</x:v>
      </x:c>
      <x:c r="E11" s="17" t="n">
        <x:f>SUMIFS('型材与拉线'!$E$8:$E$22,'型材与拉线'!$B$8:$B$22,"30x30")</x:f>
        <x:v>4</x:v>
      </x:c>
      <x:c r="F11" s="11" t="str">
        <x:v>根</x:v>
      </x:c>
      <x:c r="G11" s="11" t="str">
        <x:v>需修正</x:v>
      </x:c>
      <x:c r="H11" s="11" t="str">
        <x:v>左右前斜撑干涉，以上为中心线参考，不是斜切下料长度。</x:v>
      </x:c>
      <x:c r="I11" s="11" t="str">
        <x:v>S00</x:v>
      </x:c>
      <x:c r="J11" s="20" t="str"/>
    </x:row>
    <x:row r="12" ht="42" customHeight="1">
      <x:c r="A12" s="11" t="str">
        <x:v>AC01</x:v>
      </x:c>
      <x:c r="B12" s="11" t="str">
        <x:v>亚克力</x:v>
      </x:c>
      <x:c r="C12" s="11" t="str">
        <x:v>上层内嵌展示板</x:v>
      </x:c>
      <x:c r="D12" s="11" t="str">
        <x:v>700×360×6；镜像收尖，透明淡粉</x:v>
      </x:c>
      <x:c r="E12" s="17" t="n">
        <x:v>2</x:v>
      </x:c>
      <x:c r="F12" s="11" t="str">
        <x:v>片</x:v>
      </x:c>
      <x:c r="G12" s="11" t="str">
        <x:v>定尺参考</x:v>
      </x:c>
      <x:c r="H12" s="11" t="str">
        <x:v>左片局部五点坐标见型材表末尾；软垫承托，板顶540。</x:v>
      </x:c>
      <x:c r="I12" s="11" t="str">
        <x:v>S00</x:v>
      </x:c>
      <x:c r="J12" s="20" t="str"/>
    </x:row>
    <x:row r="13" ht="42" customHeight="1">
      <x:c r="A13" s="11" t="str">
        <x:v>AC02</x:v>
      </x:c>
      <x:c r="B13" s="11" t="str">
        <x:v>亚克力</x:v>
      </x:c>
      <x:c r="C13" s="11" t="str">
        <x:v>两侧小托板</x:v>
      </x:c>
      <x:c r="D13" s="11" t="str">
        <x:v>240×200×6；透明粉色</x:v>
      </x:c>
      <x:c r="E13" s="17" t="n">
        <x:v>4</x:v>
      </x:c>
      <x:c r="F13" s="11" t="str">
        <x:v>片</x:v>
      </x:c>
      <x:c r="G13" s="11" t="str">
        <x:v>需修正</x:v>
      </x:c>
      <x:c r="H13" s="11" t="str">
        <x:v>830高的两片被前斜撑穿过；细拉线孔14×18也需复核边距。</x:v>
      </x:c>
      <x:c r="I13" s="11" t="str">
        <x:v>S00</x:v>
      </x:c>
      <x:c r="J13" s="20" t="str"/>
    </x:row>
    <x:row r="14" ht="42" customHeight="1">
      <x:c r="A14" s="11" t="str">
        <x:v>AC03</x:v>
      </x:c>
      <x:c r="B14" s="11" t="str">
        <x:v>亚克力</x:v>
      </x:c>
      <x:c r="C14" s="11" t="str">
        <x:v>立柱透明装饰面条</x:v>
      </x:c>
      <x:c r="D14" s="11" t="str">
        <x:v>28×1540×4；透明粉色</x:v>
      </x:c>
      <x:c r="E14" s="17" t="n">
        <x:v>2</x:v>
      </x:c>
      <x:c r="F14" s="11" t="str">
        <x:v>片</x:v>
      </x:c>
      <x:c r="G14" s="11" t="str">
        <x:v>定尺参考</x:v>
      </x:c>
      <x:c r="H14" s="11" t="str">
        <x:v>模型每条5个固定点；孔、软垫及支座按实际五金确定。</x:v>
      </x:c>
      <x:c r="I14" s="11" t="str">
        <x:v>S00</x:v>
      </x:c>
      <x:c r="J14" s="20" t="str"/>
    </x:row>
    <x:row r="15" ht="42" customHeight="1">
      <x:c r="A15" s="11" t="str">
        <x:v>MT01</x:v>
      </x:c>
      <x:c r="B15" s="11" t="str">
        <x:v>金属板</x:v>
      </x:c>
      <x:c r="C15" s="11" t="str">
        <x:v>PS5 承板</x:v>
      </x:c>
      <x:c r="D15" s="11" t="str">
        <x:v>520×360×5，圆角R12，金属</x:v>
      </x:c>
      <x:c r="E15" s="17" t="n">
        <x:v>1</x:v>
      </x:c>
      <x:c r="F15" s="11" t="str">
        <x:v>片</x:v>
      </x:c>
      <x:c r="G15" s="11" t="str">
        <x:v>定尺参考</x:v>
      </x:c>
      <x:c r="H15" s="11" t="str">
        <x:v>三根横向型材承托；孔位按型材槽中心确定。</x:v>
      </x:c>
      <x:c r="I15" s="11" t="str">
        <x:v>S00</x:v>
      </x:c>
      <x:c r="J15" s="20" t="str"/>
    </x:row>
    <x:row r="16" ht="42" customHeight="1">
      <x:c r="A16" s="11" t="str">
        <x:v>MT02</x:v>
      </x:c>
      <x:c r="B16" s="11" t="str">
        <x:v>金属板</x:v>
      </x:c>
      <x:c r="C16" s="11" t="str">
        <x:v>Apple TV 承板</x:v>
      </x:c>
      <x:c r="D16" s="11" t="str">
        <x:v>180×180×5，圆角R12，金属</x:v>
      </x:c>
      <x:c r="E16" s="17" t="n">
        <x:v>1</x:v>
      </x:c>
      <x:c r="F16" s="11" t="str">
        <x:v>片</x:v>
      </x:c>
      <x:c r="G16" s="11" t="str">
        <x:v>定尺参考</x:v>
      </x:c>
      <x:c r="H16" s="11" t="str">
        <x:v>两根横向型材承托；不可误买成悬空亚克力板。</x:v>
      </x:c>
      <x:c r="I16" s="11" t="str">
        <x:v>S00</x:v>
      </x:c>
      <x:c r="J16" s="20" t="str"/>
    </x:row>
    <x:row r="17" ht="42" customHeight="1">
      <x:c r="A17" s="11" t="str">
        <x:v>MT03</x:v>
      </x:c>
      <x:c r="B17" s="11" t="str">
        <x:v>金属板</x:v>
      </x:c>
      <x:c r="C17" s="11" t="str">
        <x:v>脚轮转接钢板</x:v>
      </x:c>
      <x:c r="D17" s="11" t="str">
        <x:v>160×160×10；材质与孔位待确认</x:v>
      </x:c>
      <x:c r="E17" s="17" t="n">
        <x:v>4</x:v>
      </x:c>
      <x:c r="F17" s="11" t="str">
        <x:v>片</x:v>
      </x:c>
      <x:c r="G17" s="11" t="str">
        <x:v>待节点确认</x:v>
      </x:c>
      <x:c r="H17" s="11" t="str">
        <x:v>安装板上要有型材固定孔和脚轮固定孔，两套孔不能混作一套。</x:v>
      </x:c>
      <x:c r="I17" s="11" t="str">
        <x:v>S00</x:v>
      </x:c>
      <x:c r="J17" s="20" t="str"/>
    </x:row>
    <x:row r="18" ht="42" customHeight="1">
      <x:c r="A18" s="11" t="str">
        <x:v>MT04</x:v>
      </x:c>
      <x:c r="B18" s="11" t="str">
        <x:v>金属板</x:v>
      </x:c>
      <x:c r="C18" s="11" t="str">
        <x:v>主柱脚三角钢板</x:v>
      </x:c>
      <x:c r="D18" s="11" t="str">
        <x:v>180×220×6直角三角外包</x:v>
      </x:c>
      <x:c r="E18" s="17" t="n">
        <x:v>4</x:v>
      </x:c>
      <x:c r="F18" s="11" t="str">
        <x:v>片</x:v>
      </x:c>
      <x:c r="G18" s="11" t="str">
        <x:v>待节点确认</x:v>
      </x:c>
      <x:c r="H18" s="11" t="str">
        <x:v>每柱左右各1片；孔、材料与强度由加工方核定。</x:v>
      </x:c>
      <x:c r="I18" s="11" t="str">
        <x:v>S00</x:v>
      </x:c>
      <x:c r="J18" s="20" t="str"/>
    </x:row>
    <x:row r="19" ht="42" customHeight="1">
      <x:c r="A19" s="11" t="str">
        <x:v>MT05</x:v>
      </x:c>
      <x:c r="B19" s="11" t="str">
        <x:v>金属板</x:v>
      </x:c>
      <x:c r="C19" s="11" t="str">
        <x:v>电视横梁连接钢板</x:v>
      </x:c>
      <x:c r="D19" s="11" t="str">
        <x:v>116×76×6名义外形</x:v>
      </x:c>
      <x:c r="E19" s="17" t="n">
        <x:v>6</x:v>
      </x:c>
      <x:c r="F19" s="11" t="str">
        <x:v>片</x:v>
      </x:c>
      <x:c r="G19" s="11" t="str">
        <x:v>待节点确认</x:v>
      </x:c>
      <x:c r="H19" s="11" t="str">
        <x:v>每个电视横梁端部1片；模型每片6个连接点。</x:v>
      </x:c>
      <x:c r="I19" s="11" t="str">
        <x:v>S00</x:v>
      </x:c>
      <x:c r="J19" s="20" t="str"/>
    </x:row>
    <x:row r="20" ht="42" customHeight="1">
      <x:c r="A20" s="11" t="str">
        <x:v>MT06</x:v>
      </x:c>
      <x:c r="B20" s="11" t="str">
        <x:v>间隔件</x:v>
      </x:c>
      <x:c r="C20" s="11" t="str">
        <x:v>横梁节点间隔套</x:v>
      </x:c>
      <x:c r="D20" s="11" t="str">
        <x:v>参考长21、外径14；孔径配螺栓</x:v>
      </x:c>
      <x:c r="E20" s="17" t="n">
        <x:v>24</x:v>
      </x:c>
      <x:c r="F20" s="11" t="str">
        <x:v>件</x:v>
      </x:c>
      <x:c r="G20" s="11" t="str">
        <x:v>待节点确认</x:v>
      </x:c>
      <x:c r="H20" s="11" t="str">
        <x:v>每连接板4处梁侧间隔；不能用松叠垫片替代长套。</x:v>
      </x:c>
      <x:c r="I20" s="11" t="str">
        <x:v>S00</x:v>
      </x:c>
      <x:c r="J20" s="20" t="str"/>
    </x:row>
    <x:row r="21" ht="42" customHeight="1">
      <x:c r="A21" s="11" t="str">
        <x:v>MT07</x:v>
      </x:c>
      <x:c r="B21" s="11" t="str">
        <x:v>间隔件</x:v>
      </x:c>
      <x:c r="C21" s="11" t="str">
        <x:v>主柱节点薄垫片</x:v>
      </x:c>
      <x:c r="D21" s="11" t="str">
        <x:v>模型约1厚，外形随节点确定</x:v>
      </x:c>
      <x:c r="E21" s="17" t="n">
        <x:v>12</x:v>
      </x:c>
      <x:c r="F21" s="11" t="str">
        <x:v>件</x:v>
      </x:c>
      <x:c r="G21" s="11" t="str">
        <x:v>待节点确认</x:v>
      </x:c>
      <x:c r="H21" s="11" t="str">
        <x:v>每连接板2处柱侧垫片；实际厚度按面差实测。</x:v>
      </x:c>
      <x:c r="I21" s="11" t="str">
        <x:v>S00</x:v>
      </x:c>
      <x:c r="J21" s="20" t="str"/>
    </x:row>
    <x:row r="22" ht="42" customHeight="1">
      <x:c r="A22" s="11" t="str">
        <x:v>BR01</x:v>
      </x:c>
      <x:c r="B22" s="11" t="str">
        <x:v>结构拉撑</x:v>
      </x:c>
      <x:c r="C22" s="11" t="str">
        <x:v>背部交叉钢拉带</x:v>
      </x:c>
      <x:c r="D22" s="11" t="str">
        <x:v>30×3；锚点中心距约2332.4</x:v>
      </x:c>
      <x:c r="E22" s="17" t="n">
        <x:v>2</x:v>
      </x:c>
      <x:c r="F22" s="11" t="str">
        <x:v>条</x:v>
      </x:c>
      <x:c r="G22" s="11" t="str">
        <x:v>待节点确认</x:v>
      </x:c>
      <x:c r="H22" s="11" t="str">
        <x:v>可询价2.5m毛坯各1条；成品长须扣调节器和端部五金。</x:v>
      </x:c>
      <x:c r="I22" s="11" t="str">
        <x:v>S00</x:v>
      </x:c>
      <x:c r="J22" s="20" t="str"/>
    </x:row>
    <x:row r="23" ht="42" customHeight="1">
      <x:c r="A23" s="11" t="str">
        <x:v>BR02</x:v>
      </x:c>
      <x:c r="B23" s="11" t="str">
        <x:v>结构拉撑</x:v>
      </x:c>
      <x:c r="C23" s="11" t="str">
        <x:v>交叉钢带调节组件</x:v>
      </x:c>
      <x:c r="D23" s="11" t="str">
        <x:v>与30×3钢带及节点匹配</x:v>
      </x:c>
      <x:c r="E23" s="17" t="n">
        <x:v>2</x:v>
      </x:c>
      <x:c r="F23" s="11" t="str">
        <x:v>套</x:v>
      </x:c>
      <x:c r="G23" s="11" t="str">
        <x:v>待节点确认</x:v>
      </x:c>
      <x:c r="H23" s="11" t="str">
        <x:v>属于受力拉撑；须选合适承载与锁定方式，区别于装饰钢丝。</x:v>
      </x:c>
      <x:c r="I23" s="11" t="str">
        <x:v>S00</x:v>
      </x:c>
      <x:c r="J23" s="20" t="str"/>
    </x:row>
    <x:row r="24" ht="42" customHeight="1">
      <x:c r="A24" s="11" t="str">
        <x:v>BR03</x:v>
      </x:c>
      <x:c r="B24" s="11" t="str">
        <x:v>结构拉撑</x:v>
      </x:c>
      <x:c r="C24" s="11" t="str">
        <x:v>钢带端部固定组件</x:v>
      </x:c>
      <x:c r="D24" s="11" t="str">
        <x:v>每条2端，每端双点固定参考</x:v>
      </x:c>
      <x:c r="E24" s="17" t="n">
        <x:v>4</x:v>
      </x:c>
      <x:c r="F24" s="11" t="str">
        <x:v>套</x:v>
      </x:c>
      <x:c r="G24" s="11" t="str">
        <x:v>待节点确认</x:v>
      </x:c>
      <x:c r="H24" s="11" t="str">
        <x:v>孔位及间隔件另核；目前与洞洞板折边名义间隙很小。</x:v>
      </x:c>
      <x:c r="I24" s="11" t="str">
        <x:v>S00</x:v>
      </x:c>
      <x:c r="J24" s="20" t="str"/>
    </x:row>
    <x:row r="25" ht="42" customHeight="1">
      <x:c r="A25" s="11" t="str">
        <x:v>PG01</x:v>
      </x:c>
      <x:c r="B25" s="11" t="str">
        <x:v>洞洞板</x:v>
      </x:c>
      <x:c r="C25" s="11" t="str">
        <x:v>折边金属洞洞板</x:v>
      </x:c>
      <x:c r="D25" s="11" t="str">
        <x:v>名义600×900×1.5；向前折边约20</x:v>
      </x:c>
      <x:c r="E25" s="17" t="n">
        <x:v>3</x:v>
      </x:c>
      <x:c r="F25" s="11" t="str">
        <x:v>块</x:v>
      </x:c>
      <x:c r="G25" s="11" t="str">
        <x:v>待节点确认</x:v>
      </x:c>
      <x:c r="H25" s="11" t="str">
        <x:v>总1800×900；孔型须与挂件同系统，折弯展开不能直接套外形。</x:v>
      </x:c>
      <x:c r="I25" s="11" t="str">
        <x:v>S00</x:v>
      </x:c>
      <x:c r="J25" s="20" t="str"/>
    </x:row>
    <x:row r="26" ht="42" customHeight="1">
      <x:c r="A26" s="11" t="str">
        <x:v>PG02</x:v>
      </x:c>
      <x:c r="B26" s="11" t="str">
        <x:v>洞洞板</x:v>
      </x:c>
      <x:c r="C26" s="11" t="str">
        <x:v>板到框架间隔安装组件</x:v>
      </x:c>
      <x:c r="D26" s="11" t="str">
        <x:v>12安装点；模型轴向跨度55.5</x:v>
      </x:c>
      <x:c r="E26" s="17" t="n">
        <x:v>12</x:v>
      </x:c>
      <x:c r="F26" s="11" t="str">
        <x:v>套</x:v>
      </x:c>
      <x:c r="G26" s="11" t="str">
        <x:v>待节点确认</x:v>
      </x:c>
      <x:c r="H26" s="11" t="str">
        <x:v>6列×2排；配间隔柱、面垫及两端紧固件，实际板孔另核。</x:v>
      </x:c>
      <x:c r="I26" s="11" t="str">
        <x:v>S00</x:v>
      </x:c>
      <x:c r="J26" s="20" t="str"/>
    </x:row>
    <x:row r="27" ht="42" customHeight="1">
      <x:c r="A27" s="11" t="str">
        <x:v>TV01</x:v>
      </x:c>
      <x:c r="B27" s="11" t="str">
        <x:v>电视挂架</x:v>
      </x:c>
      <x:c r="C27" s="11" t="str">
        <x:v>85寸电视挂架/接口套件</x:v>
      </x:c>
      <x:c r="D27" s="11" t="str">
        <x:v>适配海信85E7S-PRO；承载等级待选</x:v>
      </x:c>
      <x:c r="E27" s="17" t="n">
        <x:v>1</x:v>
      </x:c>
      <x:c r="F27" s="11" t="str">
        <x:v>套</x:v>
      </x:c>
      <x:c r="G27" s="11" t="str">
        <x:v>待型号确认</x:v>
      </x:c>
      <x:c r="H27" s="11" t="str">
        <x:v>按39kg机身预选100kg级带防脱产品；VESA与旋入深度未核实。</x:v>
      </x:c>
      <x:c r="I27" s="11" t="str">
        <x:v>S01</x:v>
      </x:c>
      <x:c r="J27" s="20" t="str"/>
    </x:row>
    <x:row r="28" ht="42" customHeight="1">
      <x:c r="A28" s="11" t="str">
        <x:v>TV02</x:v>
      </x:c>
      <x:c r="B28" s="11" t="str">
        <x:v>电视挂架</x:v>
      </x:c>
      <x:c r="C28" s="11" t="str">
        <x:v>机械防脱锁定组件</x:v>
      </x:c>
      <x:c r="D28" s="11" t="str">
        <x:v>挂架原厂配套</x:v>
      </x:c>
      <x:c r="E28" s="17" t="n">
        <x:v>1</x:v>
      </x:c>
      <x:c r="F28" s="11" t="str">
        <x:v>套</x:v>
      </x:c>
      <x:c r="G28" s="11" t="str">
        <x:v>随套配齐</x:v>
      </x:c>
      <x:c r="H28" s="11" t="str">
        <x:v>若TV01已经含防脱件不重复买；不按模型占位挂臂自制承重件。</x:v>
      </x:c>
      <x:c r="I28" s="11" t="str">
        <x:v>S01</x:v>
      </x:c>
      <x:c r="J28" s="20" t="str"/>
    </x:row>
    <x:row r="29" ht="42" customHeight="1">
      <x:c r="A29" s="11" t="str">
        <x:v>WH01</x:v>
      </x:c>
      <x:c r="B29" s="11" t="str">
        <x:v>脚轮</x:v>
      </x:c>
      <x:c r="C29" s="11" t="str">
        <x:v>Ø125 万向双锁脚轮</x:v>
      </x:c>
      <x:c r="D29" s="11" t="str">
        <x:v>本体高150；完整回转半径≤115</x:v>
      </x:c>
      <x:c r="E29" s="17" t="n">
        <x:v>4</x:v>
      </x:c>
      <x:c r="F29" s="11" t="str">
        <x:v>只</x:v>
      </x:c>
      <x:c r="G29" s="11" t="str">
        <x:v>待型号确认</x:v>
      </x:c>
      <x:c r="H29" s="11" t="str">
        <x:v>预选单轮动态≥200kg，优先250kg级；方向锁版本要同高同包络。</x:v>
      </x:c>
      <x:c r="I29" s="11" t="str">
        <x:v>S02</x:v>
      </x:c>
      <x:c r="J29" s="20" t="str"/>
    </x:row>
    <x:row r="30" ht="42" customHeight="1">
      <x:c r="A30" s="11" t="str">
        <x:v>WH02</x:v>
      </x:c>
      <x:c r="B30" s="11" t="str">
        <x:v>脚轮</x:v>
      </x:c>
      <x:c r="C30" s="11" t="str">
        <x:v>脚轮到转接板紧固件</x:v>
      </x:c>
      <x:c r="D30" s="11" t="str">
        <x:v>4孔顶板前提，每轮4套</x:v>
      </x:c>
      <x:c r="E30" s="17" t="n">
        <x:v>16</x:v>
      </x:c>
      <x:c r="F30" s="11" t="str">
        <x:v>套</x:v>
      </x:c>
      <x:c r="G30" s="11" t="str">
        <x:v>待节点确认</x:v>
      </x:c>
      <x:c r="H30" s="11" t="str">
        <x:v>螺栓、平垫、防松螺母成套；直径和长度配所选顶板/10厚板。</x:v>
      </x:c>
      <x:c r="I30" s="11" t="str">
        <x:v>S02</x:v>
      </x:c>
      <x:c r="J30" s="20" t="str"/>
    </x:row>
    <x:row r="31" ht="42" customHeight="1">
      <x:c r="A31" s="11" t="str">
        <x:v>WH03</x:v>
      </x:c>
      <x:c r="B31" s="11" t="str">
        <x:v>脚轮</x:v>
      </x:c>
      <x:c r="C31" s="11" t="str">
        <x:v>转接板到型材固定组件</x:v>
      </x:c>
      <x:c r="D31" s="11" t="str">
        <x:v>每块转接板1套</x:v>
      </x:c>
      <x:c r="E31" s="17" t="n">
        <x:v>4</x:v>
      </x:c>
      <x:c r="F31" s="11" t="str">
        <x:v>套</x:v>
      </x:c>
      <x:c r="G31" s="11" t="str">
        <x:v>待节点确认</x:v>
      </x:c>
      <x:c r="H31" s="11" t="str">
        <x:v>按槽位与顶板孔画安装图；不假定脚轮孔就能直接拧进型材。</x:v>
      </x:c>
      <x:c r="I31" s="11" t="str">
        <x:v>S00</x:v>
      </x:c>
      <x:c r="J31" s="20" t="str"/>
    </x:row>
    <x:row r="32" ht="42" customHeight="1">
      <x:c r="A32" s="11" t="str">
        <x:v>FT01</x:v>
      </x:c>
      <x:c r="B32" s="11" t="str">
        <x:v>驻车脚</x:v>
      </x:c>
      <x:c r="C32" s="11" t="str">
        <x:v>可调驻车支脚</x:v>
      </x:c>
      <x:c r="D32" s="11" t="str">
        <x:v>收起最低点28；需要足够调平行程</x:v>
      </x:c>
      <x:c r="E32" s="17" t="n">
        <x:v>4</x:v>
      </x:c>
      <x:c r="F32" s="11" t="str">
        <x:v>只</x:v>
      </x:c>
      <x:c r="G32" s="11" t="str">
        <x:v>待型号确认</x:v>
      </x:c>
      <x:c r="H32" s="11" t="str">
        <x:v>螺纹/负载/行程按供货件复核；停放用，移动时收起。</x:v>
      </x:c>
      <x:c r="I32" s="11" t="str">
        <x:v>S00</x:v>
      </x:c>
      <x:c r="J32" s="20" t="str"/>
    </x:row>
    <x:row r="33" ht="42" customHeight="1">
      <x:c r="A33" s="11" t="str">
        <x:v>FT02</x:v>
      </x:c>
      <x:c r="B33" s="11" t="str">
        <x:v>驻车脚</x:v>
      </x:c>
      <x:c r="C33" s="11" t="str">
        <x:v>驻车脚安装座</x:v>
      </x:c>
      <x:c r="D33" s="11" t="str">
        <x:v>模型外包68×68×12</x:v>
      </x:c>
      <x:c r="E33" s="17" t="n">
        <x:v>4</x:v>
      </x:c>
      <x:c r="F33" s="11" t="str">
        <x:v>套</x:v>
      </x:c>
      <x:c r="G33" s="11" t="str">
        <x:v>待节点确认</x:v>
      </x:c>
      <x:c r="H33" s="11" t="str">
        <x:v>成套支座、锁紧螺母、型材固定件；避开脚轮转盘。</x:v>
      </x:c>
      <x:c r="I33" s="11" t="str">
        <x:v>S00</x:v>
      </x:c>
      <x:c r="J33" s="20" t="str"/>
    </x:row>
    <x:row r="34" ht="42" customHeight="1">
      <x:c r="A34" s="11" t="str">
        <x:v>HD01</x:v>
      </x:c>
      <x:c r="B34" s="11" t="str">
        <x:v>推把</x:v>
      </x:c>
      <x:c r="C34" s="11" t="str">
        <x:v>侧推把组件</x:v>
      </x:c>
      <x:c r="D34" s="11" t="str">
        <x:v>握持段约180；中心高780</x:v>
      </x:c>
      <x:c r="E34" s="17" t="n">
        <x:v>2</x:v>
      </x:c>
      <x:c r="F34" s="11" t="str">
        <x:v>套</x:v>
      </x:c>
      <x:c r="G34" s="11" t="str">
        <x:v>待节点确认</x:v>
      </x:c>
      <x:c r="H34" s="11" t="str">
        <x:v>每套含上下固定臂；最终位置需与斜撑改动一并复核。</x:v>
      </x:c>
      <x:c r="I34" s="11" t="str">
        <x:v>S00</x:v>
      </x:c>
      <x:c r="J34" s="20" t="str"/>
    </x:row>
    <x:row r="35" ht="42" customHeight="1">
      <x:c r="A35" s="11" t="str">
        <x:v>JN01</x:v>
      </x:c>
      <x:c r="B35" s="11" t="str">
        <x:v>框架连接</x:v>
      </x:c>
      <x:c r="C35" s="11" t="str">
        <x:v>底座角部连接组件</x:v>
      </x:c>
      <x:c r="D35" s="11" t="str">
        <x:v>4个角节点</x:v>
      </x:c>
      <x:c r="E35" s="17" t="n">
        <x:v>4</x:v>
      </x:c>
      <x:c r="F35" s="11" t="str">
        <x:v>套</x:v>
      </x:c>
      <x:c r="G35" s="11" t="str">
        <x:v>待节点确认</x:v>
      </x:c>
      <x:c r="H35" s="11" t="str">
        <x:v>配重型角码/连接板及对应螺栓T母；详见连接节点表。</x:v>
      </x:c>
      <x:c r="I35" s="11" t="str">
        <x:v>S00</x:v>
      </x:c>
      <x:c r="J35" s="20" t="str"/>
    </x:row>
    <x:row r="36" ht="42" customHeight="1">
      <x:c r="A36" s="11" t="str">
        <x:v>JN02</x:v>
      </x:c>
      <x:c r="B36" s="11" t="str">
        <x:v>框架连接</x:v>
      </x:c>
      <x:c r="C36" s="11" t="str">
        <x:v>底座横梁端部连接组件</x:v>
      </x:c>
      <x:c r="D36" s="11" t="str">
        <x:v>4根横梁×2端</x:v>
      </x:c>
      <x:c r="E36" s="17" t="n">
        <x:v>8</x:v>
      </x:c>
      <x:c r="F36" s="11" t="str">
        <x:v>套</x:v>
      </x:c>
      <x:c r="G36" s="11" t="str">
        <x:v>待节点确认</x:v>
      </x:c>
      <x:c r="H36" s="11" t="str">
        <x:v>同4080槽系；连接形式、孔数与抗滑能力由型材方确认。</x:v>
      </x:c>
      <x:c r="I36" s="11" t="str">
        <x:v>S00</x:v>
      </x:c>
      <x:c r="J36" s="20" t="str"/>
    </x:row>
    <x:row r="37" ht="42" customHeight="1">
      <x:c r="A37" s="11" t="str">
        <x:v>JN03</x:v>
      </x:c>
      <x:c r="B37" s="11" t="str">
        <x:v>框架连接</x:v>
      </x:c>
      <x:c r="C37" s="11" t="str">
        <x:v>主立柱脚紧固组件</x:v>
      </x:c>
      <x:c r="D37" s="11" t="str">
        <x:v>2个柱脚，配MT04三角板</x:v>
      </x:c>
      <x:c r="E37" s="17" t="n">
        <x:v>2</x:v>
      </x:c>
      <x:c r="F37" s="11" t="str">
        <x:v>套</x:v>
      </x:c>
      <x:c r="G37" s="11" t="str">
        <x:v>待节点确认</x:v>
      </x:c>
      <x:c r="H37" s="11" t="str">
        <x:v>本行只含紧固/定位件，不重复采购4片钢板。</x:v>
      </x:c>
      <x:c r="I37" s="11" t="str">
        <x:v>S00</x:v>
      </x:c>
      <x:c r="J37" s="20" t="str"/>
    </x:row>
    <x:row r="38" ht="42" customHeight="1">
      <x:c r="A38" s="11" t="str">
        <x:v>JN04</x:v>
      </x:c>
      <x:c r="B38" s="11" t="str">
        <x:v>框架连接</x:v>
      </x:c>
      <x:c r="C38" s="11" t="str">
        <x:v>电视横梁端部紧固组件</x:v>
      </x:c>
      <x:c r="D38" s="11" t="str">
        <x:v>3横梁×2端</x:v>
      </x:c>
      <x:c r="E38" s="17" t="n">
        <x:v>6</x:v>
      </x:c>
      <x:c r="F38" s="11" t="str">
        <x:v>套</x:v>
      </x:c>
      <x:c r="G38" s="11" t="str">
        <x:v>待节点确认</x:v>
      </x:c>
      <x:c r="H38" s="11" t="str">
        <x:v>本行不含MT05/06/07板和间隔件；按6孔参考配套。</x:v>
      </x:c>
      <x:c r="I38" s="11" t="str">
        <x:v>S00</x:v>
      </x:c>
      <x:c r="J38" s="20" t="str"/>
    </x:row>
    <x:row r="39" ht="42" customHeight="1">
      <x:c r="A39" s="11" t="str">
        <x:v>JN05</x:v>
      </x:c>
      <x:c r="B39" s="11" t="str">
        <x:v>框架连接</x:v>
      </x:c>
      <x:c r="C39" s="11" t="str">
        <x:v>上层框架/短立柱连接组件</x:v>
      </x:c>
      <x:c r="D39" s="11" t="str">
        <x:v>4梁端+4柱侧+4柱脚+4柱顶</x:v>
      </x:c>
      <x:c r="E39" s="17" t="n">
        <x:v>16</x:v>
      </x:c>
      <x:c r="F39" s="11" t="str">
        <x:v>套</x:v>
      </x:c>
      <x:c r="G39" s="11" t="str">
        <x:v>待节点确认</x:v>
      </x:c>
      <x:c r="H39" s="11" t="str">
        <x:v>一并确定40系列角码、内置连接件与螺栓规格。</x:v>
      </x:c>
      <x:c r="I39" s="11" t="str">
        <x:v>S00</x:v>
      </x:c>
      <x:c r="J39" s="20" t="str"/>
    </x:row>
    <x:row r="40" ht="42" customHeight="1">
      <x:c r="A40" s="11" t="str">
        <x:v>JN06</x:v>
      </x:c>
      <x:c r="B40" s="11" t="str">
        <x:v>框架连接</x:v>
      </x:c>
      <x:c r="C40" s="11" t="str">
        <x:v>设备篮型材框连接组件</x:v>
      </x:c>
      <x:c r="D40" s="11" t="str">
        <x:v>4长梁端+7横托×2端</x:v>
      </x:c>
      <x:c r="E40" s="17" t="n">
        <x:v>18</x:v>
      </x:c>
      <x:c r="F40" s="11" t="str">
        <x:v>套</x:v>
      </x:c>
      <x:c r="G40" s="11" t="str">
        <x:v>待节点确认</x:v>
      </x:c>
      <x:c r="H40" s="11" t="str">
        <x:v>下层金属框与篮体分开计；不能把焊网当作结构横梁。</x:v>
      </x:c>
      <x:c r="I40" s="11" t="str">
        <x:v>S00</x:v>
      </x:c>
      <x:c r="J40" s="20" t="str"/>
    </x:row>
    <x:row r="41" ht="42" customHeight="1">
      <x:c r="A41" s="11" t="str">
        <x:v>JN07</x:v>
      </x:c>
      <x:c r="B41" s="11" t="str">
        <x:v>框架连接</x:v>
      </x:c>
      <x:c r="C41" s="11" t="str">
        <x:v>2020到4040转换连接组件</x:v>
      </x:c>
      <x:c r="D41" s="11" t="str">
        <x:v>6根板下横托×2端</x:v>
      </x:c>
      <x:c r="E41" s="17" t="n">
        <x:v>12</x:v>
      </x:c>
      <x:c r="F41" s="11" t="str">
        <x:v>套</x:v>
      </x:c>
      <x:c r="G41" s="11" t="str">
        <x:v>待节点确认</x:v>
      </x:c>
      <x:c r="H41" s="11" t="str">
        <x:v>20系与40系槽宽可能不同，两端T母/螺栓分别配齐。</x:v>
      </x:c>
      <x:c r="I41" s="11" t="str">
        <x:v>S00</x:v>
      </x:c>
      <x:c r="J41" s="20" t="str"/>
    </x:row>
    <x:row r="42" ht="42" customHeight="1">
      <x:c r="A42" s="11" t="str">
        <x:v>JN08</x:v>
      </x:c>
      <x:c r="B42" s="11" t="str">
        <x:v>框架连接</x:v>
      </x:c>
      <x:c r="C42" s="11" t="str">
        <x:v>拉线短塔柱脚连接组件</x:v>
      </x:c>
      <x:c r="D42" s="11" t="str">
        <x:v>2根短塔</x:v>
      </x:c>
      <x:c r="E42" s="17" t="n">
        <x:v>2</x:v>
      </x:c>
      <x:c r="F42" s="11" t="str">
        <x:v>套</x:v>
      </x:c>
      <x:c r="G42" s="11" t="str">
        <x:v>待节点确认</x:v>
      </x:c>
      <x:c r="H42" s="11" t="str">
        <x:v>连接后横梁与短立柱，不单靠端帽或亚克力承托。</x:v>
      </x:c>
      <x:c r="I42" s="11" t="str">
        <x:v>S00</x:v>
      </x:c>
      <x:c r="J42" s="20" t="str"/>
    </x:row>
    <x:row r="43" ht="42" customHeight="1">
      <x:c r="A43" s="11" t="str">
        <x:v>JN09</x:v>
      </x:c>
      <x:c r="B43" s="11" t="str">
        <x:v>框架连接</x:v>
      </x:c>
      <x:c r="C43" s="11" t="str">
        <x:v>3030斜撑端部连接座</x:v>
      </x:c>
      <x:c r="D43" s="11" t="str">
        <x:v>4斜撑×2端</x:v>
      </x:c>
      <x:c r="E43" s="17" t="n">
        <x:v>8</x:v>
      </x:c>
      <x:c r="F43" s="11" t="str">
        <x:v>套</x:v>
      </x:c>
      <x:c r="G43" s="11" t="str">
        <x:v>需修正</x:v>
      </x:c>
      <x:c r="H43" s="11" t="str">
        <x:v>位置修改后，确定可调角度金属连接座及对应连接板。</x:v>
      </x:c>
      <x:c r="I43" s="11" t="str">
        <x:v>S00</x:v>
      </x:c>
      <x:c r="J43" s="20" t="str"/>
    </x:row>
    <x:row r="44" ht="42" customHeight="1">
      <x:c r="A44" s="11" t="str">
        <x:v>BX01</x:v>
      </x:c>
      <x:c r="B44" s="11" t="str">
        <x:v>网篮</x:v>
      </x:c>
      <x:c r="C44" s="11" t="str">
        <x:v>下层焊网篮组件</x:v>
      </x:c>
      <x:c r="D44" s="11" t="str">
        <x:v>名义1440×600，篮体高约148</x:v>
      </x:c>
      <x:c r="E44" s="17" t="n">
        <x:v>1</x:v>
      </x:c>
      <x:c r="F44" s="11" t="str">
        <x:v>套</x:v>
      </x:c>
      <x:c r="G44" s="11" t="str">
        <x:v>待加工图</x:v>
      </x:c>
      <x:c r="H44" s="11" t="str">
        <x:v>含网底、前/两端护栏及2片后门；不含下列铰链锁扣。</x:v>
      </x:c>
      <x:c r="I44" s="11" t="str">
        <x:v>S00</x:v>
      </x:c>
      <x:c r="J44" s="20" t="str"/>
    </x:row>
    <x:row r="45" ht="42" customHeight="1">
      <x:c r="A45" s="11" t="str">
        <x:v>BX02</x:v>
      </x:c>
      <x:c r="B45" s="11" t="str">
        <x:v>网篮</x:v>
      </x:c>
      <x:c r="C45" s="11" t="str">
        <x:v>后网门铰链</x:v>
      </x:c>
      <x:c r="D45" s="11" t="str">
        <x:v>每片后门2个</x:v>
      </x:c>
      <x:c r="E45" s="17" t="n">
        <x:v>4</x:v>
      </x:c>
      <x:c r="F45" s="11" t="str">
        <x:v>个</x:v>
      </x:c>
      <x:c r="G45" s="11" t="str">
        <x:v>待型号确认</x:v>
      </x:c>
      <x:c r="H45" s="11" t="str">
        <x:v>后门名义688×134；净间隙、铰轴和焊丝需加工图确认。</x:v>
      </x:c>
      <x:c r="I45" s="11" t="str">
        <x:v>S00</x:v>
      </x:c>
      <x:c r="J45" s="20" t="str"/>
    </x:row>
    <x:row r="46" ht="42" customHeight="1">
      <x:c r="A46" s="11" t="str">
        <x:v>BX03</x:v>
      </x:c>
      <x:c r="B46" s="11" t="str">
        <x:v>网篮</x:v>
      </x:c>
      <x:c r="C46" s="11" t="str">
        <x:v>后网门锁扣/拉手组件</x:v>
      </x:c>
      <x:c r="D46" s="11" t="str">
        <x:v>每片后门1套</x:v>
      </x:c>
      <x:c r="E46" s="17" t="n">
        <x:v>2</x:v>
      </x:c>
      <x:c r="F46" s="11" t="str">
        <x:v>套</x:v>
      </x:c>
      <x:c r="G46" s="11" t="str">
        <x:v>待型号确认</x:v>
      </x:c>
      <x:c r="H46" s="11" t="str">
        <x:v>带防意外开启措施，兼作取放拉手。</x:v>
      </x:c>
      <x:c r="I46" s="11" t="str">
        <x:v>S00</x:v>
      </x:c>
      <x:c r="J46" s="20" t="str"/>
    </x:row>
    <x:row r="47" ht="42" customHeight="1">
      <x:c r="A47" s="11" t="str">
        <x:v>BX04</x:v>
      </x:c>
      <x:c r="B47" s="11" t="str">
        <x:v>网篮</x:v>
      </x:c>
      <x:c r="C47" s="11" t="str">
        <x:v>后网门限位组件</x:v>
      </x:c>
      <x:c r="D47" s="11" t="str">
        <x:v>每片1套</x:v>
      </x:c>
      <x:c r="E47" s="17" t="n">
        <x:v>2</x:v>
      </x:c>
      <x:c r="F47" s="11" t="str">
        <x:v>套</x:v>
      </x:c>
      <x:c r="G47" s="11" t="str">
        <x:v>待加工图</x:v>
      </x:c>
      <x:c r="H47" s="11" t="str">
        <x:v>限制翻下角度并固定小五金，不让网门拖地或碰设备。</x:v>
      </x:c>
      <x:c r="I47" s="11" t="str">
        <x:v>S00</x:v>
      </x:c>
      <x:c r="J47" s="20" t="str"/>
    </x:row>
    <x:row r="48" ht="42" customHeight="1">
      <x:c r="A48" s="11" t="str">
        <x:v>BX05</x:v>
      </x:c>
      <x:c r="B48" s="11" t="str">
        <x:v>网篮</x:v>
      </x:c>
      <x:c r="C48" s="11" t="str">
        <x:v>网篮到型材固定夹座</x:v>
      </x:c>
      <x:c r="D48" s="11" t="str">
        <x:v>前后各2处参考</x:v>
      </x:c>
      <x:c r="E48" s="17" t="n">
        <x:v>4</x:v>
      </x:c>
      <x:c r="F48" s="11" t="str">
        <x:v>套</x:v>
      </x:c>
      <x:c r="G48" s="11" t="str">
        <x:v>待加工图</x:v>
      </x:c>
      <x:c r="H48" s="11" t="str">
        <x:v>补充防跳固定；夹座夹住金属篮框，若篮体成套已含则扣减。</x:v>
      </x:c>
      <x:c r="I48" s="11" t="str">
        <x:v>S00</x:v>
      </x:c>
      <x:c r="J48" s="20" t="str"/>
    </x:row>
    <x:row r="49" ht="42" customHeight="1">
      <x:c r="A49" s="11" t="str">
        <x:v>SF01</x:v>
      </x:c>
      <x:c r="B49" s="11" t="str">
        <x:v>亚克力固定</x:v>
      </x:c>
      <x:c r="C49" s="11" t="str">
        <x:v>连续软垫条</x:v>
      </x:c>
      <x:c r="D49" s="11" t="str">
        <x:v>20×2；6段各340</x:v>
      </x:c>
      <x:c r="E49" s="17" t="n">
        <x:v>3</x:v>
      </x:c>
      <x:c r="F49" s="11" t="str">
        <x:v>米</x:v>
      </x:c>
      <x:c r="G49" s="11" t="str">
        <x:v>毛坯预留</x:v>
      </x:c>
      <x:c r="H49" s="11" t="str">
        <x:v>净长2.04m；板底534、横托顶532；兼容PMMA材质。</x:v>
      </x:c>
      <x:c r="I49" s="11" t="str">
        <x:v>S00</x:v>
      </x:c>
      <x:c r="J49" s="20" t="str"/>
    </x:row>
    <x:row r="50" ht="42" customHeight="1">
      <x:c r="A50" s="11" t="str">
        <x:v>SF02</x:v>
      </x:c>
      <x:c r="B50" s="11" t="str">
        <x:v>亚克力固定</x:v>
      </x:c>
      <x:c r="C50" s="11" t="str">
        <x:v>软接触限位夹</x:v>
      </x:c>
      <x:c r="D50" s="11" t="str">
        <x:v>上层板每片4个</x:v>
      </x:c>
      <x:c r="E50" s="17" t="n">
        <x:v>8</x:v>
      </x:c>
      <x:c r="F50" s="11" t="str">
        <x:v>套</x:v>
      </x:c>
      <x:c r="G50" s="11" t="str">
        <x:v>待节点确认</x:v>
      </x:c>
      <x:c r="H50" s="11" t="str">
        <x:v>防跳、限位并允许热胀冷缩，孔位不直接照占位块加工。</x:v>
      </x:c>
      <x:c r="I50" s="11" t="str">
        <x:v>S00</x:v>
      </x:c>
      <x:c r="J50" s="20" t="str"/>
    </x:row>
    <x:row r="51" ht="42" customHeight="1">
      <x:c r="A51" s="11" t="str">
        <x:v>SF03</x:v>
      </x:c>
      <x:c r="B51" s="11" t="str">
        <x:v>亚克力固定</x:v>
      </x:c>
      <x:c r="C51" s="11" t="str">
        <x:v>侧小托板金属支臂</x:v>
      </x:c>
      <x:c r="D51" s="11" t="str">
        <x:v>参考支臂长200，每片1套</x:v>
      </x:c>
      <x:c r="E51" s="17" t="n">
        <x:v>4</x:v>
      </x:c>
      <x:c r="F51" s="11" t="str">
        <x:v>套</x:v>
      </x:c>
      <x:c r="G51" s="11" t="str">
        <x:v>需修正</x:v>
      </x:c>
      <x:c r="H51" s="11" t="str">
        <x:v>830高两片先处理斜撑让位；含固定角码和软接触垫。</x:v>
      </x:c>
      <x:c r="I51" s="11" t="str">
        <x:v>S00</x:v>
      </x:c>
      <x:c r="J51" s="20" t="str"/>
    </x:row>
    <x:row r="52" ht="42" customHeight="1">
      <x:c r="A52" s="11" t="str">
        <x:v>SF04</x:v>
      </x:c>
      <x:c r="B52" s="11" t="str">
        <x:v>亚克力固定</x:v>
      </x:c>
      <x:c r="C52" s="11" t="str">
        <x:v>立柱面条固定件</x:v>
      </x:c>
      <x:c r="D52" s="11" t="str">
        <x:v>每条5处</x:v>
      </x:c>
      <x:c r="E52" s="17" t="n">
        <x:v>10</x:v>
      </x:c>
      <x:c r="F52" s="11" t="str">
        <x:v>套</x:v>
      </x:c>
      <x:c r="G52" s="11" t="str">
        <x:v>待节点确认</x:v>
      </x:c>
      <x:c r="H52" s="11" t="str">
        <x:v>含小间隔座、软垫、宽面垫片与紧固件。</x:v>
      </x:c>
      <x:c r="I52" s="11" t="str">
        <x:v>S00</x:v>
      </x:c>
      <x:c r="J52" s="20" t="str"/>
    </x:row>
    <x:row r="53" ht="42" customHeight="1">
      <x:c r="A53" s="11" t="str">
        <x:v>SF05</x:v>
      </x:c>
      <x:c r="B53" s="11" t="str">
        <x:v>设备固定</x:v>
      </x:c>
      <x:c r="C53" s="11" t="str">
        <x:v>设备承板橡胶垫</x:v>
      </x:c>
      <x:c r="D53" s="11" t="str">
        <x:v>36×28×5，模型10处</x:v>
      </x:c>
      <x:c r="E53" s="17" t="n">
        <x:v>10</x:v>
      </x:c>
      <x:c r="F53" s="11" t="str">
        <x:v>块</x:v>
      </x:c>
      <x:c r="G53" s="11" t="str">
        <x:v>定尺参考</x:v>
      </x:c>
      <x:c r="H53" s="11" t="str">
        <x:v>PS5下6处，Apple TV下4处；匹配金属承板。</x:v>
      </x:c>
      <x:c r="I53" s="11" t="str">
        <x:v>S00</x:v>
      </x:c>
      <x:c r="J53" s="20" t="str"/>
    </x:row>
    <x:row r="54" ht="42" customHeight="1">
      <x:c r="A54" s="11" t="str">
        <x:v>SF06</x:v>
      </x:c>
      <x:c r="B54" s="11" t="str">
        <x:v>设备固定</x:v>
      </x:c>
      <x:c r="C54" s="11" t="str">
        <x:v>金属承板固定组件</x:v>
      </x:c>
      <x:c r="D54" s="11" t="str">
        <x:v>PS5约6点，Apple TV约4点</x:v>
      </x:c>
      <x:c r="E54" s="17" t="n">
        <x:v>10</x:v>
      </x:c>
      <x:c r="F54" s="11" t="str">
        <x:v>套</x:v>
      </x:c>
      <x:c r="G54" s="11" t="str">
        <x:v>待节点确认</x:v>
      </x:c>
      <x:c r="H54" s="11" t="str">
        <x:v>孔和螺栓长度配5厚金属板及型材槽，不凭渲染图钻孔。</x:v>
      </x:c>
      <x:c r="I54" s="11" t="str">
        <x:v>S00</x:v>
      </x:c>
      <x:c r="J54" s="20" t="str"/>
    </x:row>
    <x:row r="55" ht="42" customHeight="1">
      <x:c r="A55" s="11" t="str">
        <x:v>SF07</x:v>
      </x:c>
      <x:c r="B55" s="11" t="str">
        <x:v>设备固定</x:v>
      </x:c>
      <x:c r="C55" s="11" t="str">
        <x:v>PS5可拆防滑限位组件</x:v>
      </x:c>
      <x:c r="D55" s="11" t="str">
        <x:v>与未来所购横放底座匹配</x:v>
      </x:c>
      <x:c r="E55" s="17" t="n">
        <x:v>1</x:v>
      </x:c>
      <x:c r="F55" s="11" t="str">
        <x:v>套</x:v>
      </x:c>
      <x:c r="G55" s="11" t="str">
        <x:v>待机型确认</x:v>
      </x:c>
      <x:c r="H55" s="11" t="str">
        <x:v>补充需求：模型未表示完整限位件，避开进出风及光驱口。</x:v>
      </x:c>
      <x:c r="I55" s="11" t="str">
        <x:v>S03/S04</x:v>
      </x:c>
      <x:c r="J55" s="20" t="str"/>
    </x:row>
    <x:row r="56" ht="42" customHeight="1">
      <x:c r="A56" s="11" t="str">
        <x:v>SF08</x:v>
      </x:c>
      <x:c r="B56" s="11" t="str">
        <x:v>设备固定</x:v>
      </x:c>
      <x:c r="C56" s="11" t="str">
        <x:v>设备可拆固定带</x:v>
      </x:c>
      <x:c r="D56" s="11" t="str">
        <x:v>PS5 2条、Apple TV 1条参考</x:v>
      </x:c>
      <x:c r="E56" s="17" t="n">
        <x:v>3</x:v>
      </x:c>
      <x:c r="F56" s="11" t="str">
        <x:v>条</x:v>
      </x:c>
      <x:c r="G56" s="11" t="str">
        <x:v>待机型确认</x:v>
      </x:c>
      <x:c r="H56" s="11" t="str">
        <x:v>成套软带与金属固定点；不能压通风口或把主机绑死。</x:v>
      </x:c>
      <x:c r="I56" s="11" t="str">
        <x:v>S03/S04/S05</x:v>
      </x:c>
      <x:c r="J56" s="20" t="str"/>
    </x:row>
    <x:row r="57" ht="42" customHeight="1">
      <x:c r="A57" s="11" t="str">
        <x:v>SF09</x:v>
      </x:c>
      <x:c r="B57" s="11" t="str">
        <x:v>手办固定</x:v>
      </x:c>
      <x:c r="C57" s="11" t="str">
        <x:v>透明薄防滑垫</x:v>
      </x:c>
      <x:c r="D57" s="11" t="str">
        <x:v>按手办底座剪裁</x:v>
      </x:c>
      <x:c r="E57" s="17" t="n">
        <x:v>8</x:v>
      </x:c>
      <x:c r="F57" s="11" t="str">
        <x:v>片</x:v>
      </x:c>
      <x:c r="G57" s="11" t="str">
        <x:v>预留数量</x:v>
      </x:c>
      <x:c r="H57" s="11" t="str">
        <x:v>上层4处、两侧4处；与所购手办底座材料兼容。</x:v>
      </x:c>
      <x:c r="I57" s="11" t="str">
        <x:v>S00</x:v>
      </x:c>
      <x:c r="J57" s="20" t="str"/>
    </x:row>
    <x:row r="58" ht="42" customHeight="1">
      <x:c r="A58" s="11" t="str">
        <x:v>CB01</x:v>
      </x:c>
      <x:c r="B58" s="11" t="str">
        <x:v>装饰拉线</x:v>
      </x:c>
      <x:c r="C58" s="11" t="str">
        <x:v>细钢丝拉索毛料</x:v>
      </x:c>
      <x:c r="D58" s="11" t="str">
        <x:v>成品外径参考2.2，端头需同套</x:v>
      </x:c>
      <x:c r="E58" s="17" t="n">
        <x:v>10</x:v>
      </x:c>
      <x:c r="F58" s="11" t="str">
        <x:v>米</x:v>
      </x:c>
      <x:c r="G58" s="11" t="str">
        <x:v>毛坯预留</x:v>
      </x:c>
      <x:c r="H58" s="11" t="str">
        <x:v>10根扇形线总中心距4.325m；每端另留100后毛料约6.325m。</x:v>
      </x:c>
      <x:c r="I58" s="11" t="str">
        <x:v>S00</x:v>
      </x:c>
      <x:c r="J58" s="20" t="str"/>
    </x:row>
    <x:row r="59" ht="42" customHeight="1">
      <x:c r="A59" s="11" t="str">
        <x:v>CB02</x:v>
      </x:c>
      <x:c r="B59" s="11" t="str">
        <x:v>装饰拉线</x:v>
      </x:c>
      <x:c r="C59" s="11" t="str">
        <x:v>长钢丝拉索毛料</x:v>
      </x:c>
      <x:c r="D59" s="11" t="str">
        <x:v>成品外径参考3，端头需同套</x:v>
      </x:c>
      <x:c r="E59" s="17" t="n">
        <x:v>10</x:v>
      </x:c>
      <x:c r="F59" s="11" t="str">
        <x:v>米</x:v>
      </x:c>
      <x:c r="G59" s="11" t="str">
        <x:v>毛坯预留</x:v>
      </x:c>
      <x:c r="H59" s="11" t="str">
        <x:v>4根外侧线中心距6.286m；端部预留后毛料约7.086m。</x:v>
      </x:c>
      <x:c r="I59" s="11" t="str">
        <x:v>S00</x:v>
      </x:c>
      <x:c r="J59" s="20" t="str"/>
    </x:row>
    <x:row r="60" ht="42" customHeight="1">
      <x:c r="A60" s="11" t="str">
        <x:v>CB03</x:v>
      </x:c>
      <x:c r="B60" s="11" t="str">
        <x:v>装饰拉线</x:v>
      </x:c>
      <x:c r="C60" s="11" t="str">
        <x:v>小型拉线调节器</x:v>
      </x:c>
      <x:c r="D60" s="11" t="str">
        <x:v>用于10根扇形拉线</x:v>
      </x:c>
      <x:c r="E60" s="17" t="n">
        <x:v>10</x:v>
      </x:c>
      <x:c r="F60" s="11" t="str">
        <x:v>套</x:v>
      </x:c>
      <x:c r="G60" s="11" t="str">
        <x:v>待型号确认</x:v>
      </x:c>
      <x:c r="H60" s="11" t="str">
        <x:v>按实物端头长度重算成品线长；最短中心距仅209.7。</x:v>
      </x:c>
      <x:c r="I60" s="11" t="str">
        <x:v>S00</x:v>
      </x:c>
      <x:c r="J60" s="20" t="str"/>
    </x:row>
    <x:row r="61" ht="42" customHeight="1">
      <x:c r="A61" s="11" t="str">
        <x:v>CB04</x:v>
      </x:c>
      <x:c r="B61" s="11" t="str">
        <x:v>装饰拉线</x:v>
      </x:c>
      <x:c r="C61" s="11" t="str">
        <x:v>长拉线调节器</x:v>
      </x:c>
      <x:c r="D61" s="11" t="str">
        <x:v>用于4根外侧拉线</x:v>
      </x:c>
      <x:c r="E61" s="17" t="n">
        <x:v>4</x:v>
      </x:c>
      <x:c r="F61" s="11" t="str">
        <x:v>套</x:v>
      </x:c>
      <x:c r="G61" s="11" t="str">
        <x:v>待型号确认</x:v>
      </x:c>
      <x:c r="H61" s="11" t="str">
        <x:v>带防松锁定；不将装饰索的存在计入架体额定承载。</x:v>
      </x:c>
      <x:c r="I61" s="11" t="str">
        <x:v>S00</x:v>
      </x:c>
      <x:c r="J61" s="20" t="str"/>
    </x:row>
    <x:row r="62" ht="42" customHeight="1">
      <x:c r="A62" s="11" t="str">
        <x:v>CB05</x:v>
      </x:c>
      <x:c r="B62" s="11" t="str">
        <x:v>装饰拉线</x:v>
      </x:c>
      <x:c r="C62" s="11" t="str">
        <x:v>钢丝端部压接/护环组件</x:v>
      </x:c>
      <x:c r="D62" s="11" t="str">
        <x:v>14根×2端</x:v>
      </x:c>
      <x:c r="E62" s="17" t="n">
        <x:v>28</x:v>
      </x:c>
      <x:c r="F62" s="11" t="str">
        <x:v>套</x:v>
      </x:c>
      <x:c r="G62" s="11" t="str">
        <x:v>待型号确认</x:v>
      </x:c>
      <x:c r="H62" s="11" t="str">
        <x:v>压套、护环或成品螺纹端子由同一厂家按钢芯配套。</x:v>
      </x:c>
      <x:c r="I62" s="11" t="str">
        <x:v>S00</x:v>
      </x:c>
      <x:c r="J62" s="20" t="str"/>
    </x:row>
    <x:row r="63" ht="42" customHeight="1">
      <x:c r="A63" s="11" t="str">
        <x:v>CB06</x:v>
      </x:c>
      <x:c r="B63" s="11" t="str">
        <x:v>装饰拉线</x:v>
      </x:c>
      <x:c r="C63" s="11" t="str">
        <x:v>单索金属固定座</x:v>
      </x:c>
      <x:c r="D63" s="11" t="str">
        <x:v>8个长线端点+10个扇形下锚</x:v>
      </x:c>
      <x:c r="E63" s="17" t="n">
        <x:v>18</x:v>
      </x:c>
      <x:c r="F63" s="11" t="str">
        <x:v>套</x:v>
      </x:c>
      <x:c r="G63" s="11" t="str">
        <x:v>待节点确认</x:v>
      </x:c>
      <x:c r="H63" s="11" t="str">
        <x:v>固定在金属结构；避免让亚克力板承受预紧力。</x:v>
      </x:c>
      <x:c r="I63" s="11" t="str">
        <x:v>S00</x:v>
      </x:c>
      <x:c r="J63" s="20" t="str"/>
    </x:row>
    <x:row r="64" ht="42" customHeight="1">
      <x:c r="A64" s="11" t="str">
        <x:v>CB07</x:v>
      </x:c>
      <x:c r="B64" s="11" t="str">
        <x:v>装饰拉线</x:v>
      </x:c>
      <x:c r="C64" s="11" t="str">
        <x:v>五孔分线座</x:v>
      </x:c>
      <x:c r="D64" s="11" t="str">
        <x:v>每短塔1套</x:v>
      </x:c>
      <x:c r="E64" s="17" t="n">
        <x:v>2</x:v>
      </x:c>
      <x:c r="F64" s="11" t="str">
        <x:v>套</x:v>
      </x:c>
      <x:c r="G64" s="11" t="str">
        <x:v>需节点图</x:v>
      </x:c>
      <x:c r="H64" s="11" t="str">
        <x:v>五根线不能照模型把5个眼环叠在同一点；需分线座或成品汇索座。</x:v>
      </x:c>
      <x:c r="I64" s="11" t="str">
        <x:v>S00</x:v>
      </x:c>
      <x:c r="J64" s="20" t="str"/>
    </x:row>
    <x:row r="65" ht="42" customHeight="1">
      <x:c r="A65" s="11" t="str">
        <x:v>CP01</x:v>
      </x:c>
      <x:c r="B65" s="11" t="str">
        <x:v>端盖</x:v>
      </x:c>
      <x:c r="C65" s="11" t="str">
        <x:v>底座粉色4080端盖</x:v>
      </x:c>
      <x:c r="D65" s="11" t="str">
        <x:v>4个外侧端头，控制总包络</x:v>
      </x:c>
      <x:c r="E65" s="17" t="n">
        <x:v>4</x:v>
      </x:c>
      <x:c r="F65" s="11" t="str">
        <x:v>个</x:v>
      </x:c>
      <x:c r="G65" s="11" t="str">
        <x:v>待型号确认</x:v>
      </x:c>
      <x:c r="H65" s="11" t="str">
        <x:v>模型外包50×84×10；实际与型材槽系匹配。</x:v>
      </x:c>
      <x:c r="I65" s="11" t="str">
        <x:v>S00</x:v>
      </x:c>
      <x:c r="J65" s="20" t="str"/>
    </x:row>
    <x:row r="66" ht="42" customHeight="1">
      <x:c r="A66" s="11" t="str">
        <x:v>CP02</x:v>
      </x:c>
      <x:c r="B66" s="11" t="str">
        <x:v>端盖</x:v>
      </x:c>
      <x:c r="C66" s="11" t="str">
        <x:v>主立柱粉色4080顶盖</x:v>
      </x:c>
      <x:c r="D66" s="11" t="str">
        <x:v>左右柱顶</x:v>
      </x:c>
      <x:c r="E66" s="17" t="n">
        <x:v>2</x:v>
      </x:c>
      <x:c r="F66" s="11" t="str">
        <x:v>个</x:v>
      </x:c>
      <x:c r="G66" s="11" t="str">
        <x:v>待型号确认</x:v>
      </x:c>
      <x:c r="H66" s="11" t="str">
        <x:v>模型50×90平面；装饰杆固定孔需配套。</x:v>
      </x:c>
      <x:c r="I66" s="11" t="str">
        <x:v>S00</x:v>
      </x:c>
      <x:c r="J66" s="20" t="str"/>
    </x:row>
    <x:row r="67" ht="42" customHeight="1">
      <x:c r="A67" s="11" t="str">
        <x:v>CP03</x:v>
      </x:c>
      <x:c r="B67" s="11" t="str">
        <x:v>端盖</x:v>
      </x:c>
      <x:c r="C67" s="11" t="str">
        <x:v>前短立柱4040端盖</x:v>
      </x:c>
      <x:c r="D67" s="11" t="str">
        <x:v>前侧2个</x:v>
      </x:c>
      <x:c r="E67" s="17" t="n">
        <x:v>2</x:v>
      </x:c>
      <x:c r="F67" s="11" t="str">
        <x:v>个</x:v>
      </x:c>
      <x:c r="G67" s="11" t="str">
        <x:v>待型号确认</x:v>
      </x:c>
      <x:c r="H67" s="11" t="str">
        <x:v>后侧短立柱上方还有拉线塔，不重复加封口盖。</x:v>
      </x:c>
      <x:c r="I67" s="11" t="str">
        <x:v>S00</x:v>
      </x:c>
      <x:c r="J67" s="20" t="str"/>
    </x:row>
    <x:row r="68" ht="42" customHeight="1">
      <x:c r="A68" s="11" t="str">
        <x:v>CP04</x:v>
      </x:c>
      <x:c r="B68" s="11" t="str">
        <x:v>端盖</x:v>
      </x:c>
      <x:c r="C68" s="11" t="str">
        <x:v>拉线短塔粉色4040端帽</x:v>
      </x:c>
      <x:c r="D68" s="11" t="str">
        <x:v>46×46×12名义外包</x:v>
      </x:c>
      <x:c r="E68" s="17" t="n">
        <x:v>2</x:v>
      </x:c>
      <x:c r="F68" s="11" t="str">
        <x:v>个</x:v>
      </x:c>
      <x:c r="G68" s="11" t="str">
        <x:v>定尺参考</x:v>
      </x:c>
      <x:c r="H68" s="11" t="str">
        <x:v>含帽总塔顶高740，距电视下沿30。</x:v>
      </x:c>
      <x:c r="I68" s="11" t="str">
        <x:v>S00</x:v>
      </x:c>
      <x:c r="J68" s="20" t="str"/>
    </x:row>
    <x:row r="69" ht="42" customHeight="1">
      <x:c r="A69" s="11" t="str">
        <x:v>CP05</x:v>
      </x:c>
      <x:c r="B69" s="11" t="str">
        <x:v>装饰杆</x:v>
      </x:c>
      <x:c r="C69" s="11" t="str">
        <x:v>柱顶粉色细杆</x:v>
      </x:c>
      <x:c r="D69" s="11" t="str">
        <x:v>名义Ø3.6×80，每柱3根</x:v>
      </x:c>
      <x:c r="E69" s="17" t="n">
        <x:v>6</x:v>
      </x:c>
      <x:c r="F69" s="11" t="str">
        <x:v>根</x:v>
      </x:c>
      <x:c r="G69" s="11" t="str">
        <x:v>定尺参考</x:v>
      </x:c>
      <x:c r="H69" s="11" t="str">
        <x:v>非受力件；最高点1880，不用于固定长拉线。</x:v>
      </x:c>
      <x:c r="I69" s="11" t="str">
        <x:v>S00</x:v>
      </x:c>
      <x:c r="J69" s="20" t="str"/>
    </x:row>
    <x:row r="70" ht="42" customHeight="1">
      <x:c r="A70" s="11" t="str">
        <x:v>ST01</x:v>
      </x:c>
      <x:c r="B70" s="11" t="str">
        <x:v>背部收纳</x:v>
      </x:c>
      <x:c r="C70" s="11" t="str">
        <x:v>大挂篮</x:v>
      </x:c>
      <x:c r="D70" s="11" t="str">
        <x:v>约460×140深×140高</x:v>
      </x:c>
      <x:c r="E70" s="17" t="n">
        <x:v>1</x:v>
      </x:c>
      <x:c r="F70" s="11" t="str">
        <x:v>个</x:v>
      </x:c>
      <x:c r="G70" s="11" t="str">
        <x:v>待型号确认</x:v>
      </x:c>
      <x:c r="H70" s="11" t="str">
        <x:v>需与洞洞板孔型匹配；挂篮固定防跳。</x:v>
      </x:c>
      <x:c r="I70" s="11" t="str">
        <x:v>S00</x:v>
      </x:c>
      <x:c r="J70" s="20" t="str"/>
    </x:row>
    <x:row r="71" ht="42" customHeight="1">
      <x:c r="A71" s="11" t="str">
        <x:v>ST02</x:v>
      </x:c>
      <x:c r="B71" s="11" t="str">
        <x:v>背部收纳</x:v>
      </x:c>
      <x:c r="C71" s="11" t="str">
        <x:v>小挂篮</x:v>
      </x:c>
      <x:c r="D71" s="11" t="str">
        <x:v>约430×130深×140高</x:v>
      </x:c>
      <x:c r="E71" s="17" t="n">
        <x:v>1</x:v>
      </x:c>
      <x:c r="F71" s="11" t="str">
        <x:v>个</x:v>
      </x:c>
      <x:c r="G71" s="11" t="str">
        <x:v>待型号确认</x:v>
      </x:c>
      <x:c r="H71" s="11" t="str">
        <x:v>尺寸是占位包络，购买后须复核实际外伸和承重。</x:v>
      </x:c>
      <x:c r="I71" s="11" t="str">
        <x:v>S00</x:v>
      </x:c>
      <x:c r="J71" s="20" t="str"/>
    </x:row>
    <x:row r="72" ht="42" customHeight="1">
      <x:c r="A72" s="11" t="str">
        <x:v>ST03</x:v>
      </x:c>
      <x:c r="B72" s="11" t="str">
        <x:v>背部收纳</x:v>
      </x:c>
      <x:c r="C72" s="11" t="str">
        <x:v>双爪手柄挂架</x:v>
      </x:c>
      <x:c r="D72" s="11" t="str">
        <x:v>PS5手柄用，每套双爪</x:v>
      </x:c>
      <x:c r="E72" s="17" t="n">
        <x:v>2</x:v>
      </x:c>
      <x:c r="F72" s="11" t="str">
        <x:v>套</x:v>
      </x:c>
      <x:c r="G72" s="11" t="str">
        <x:v>待型号确认</x:v>
      </x:c>
      <x:c r="H72" s="11" t="str">
        <x:v>需匹配洞洞板，手柄本体不计入架体采购。</x:v>
      </x:c>
      <x:c r="I72" s="11" t="str">
        <x:v>S00</x:v>
      </x:c>
      <x:c r="J72" s="20" t="str"/>
    </x:row>
    <x:row r="73" ht="42" customHeight="1">
      <x:c r="A73" s="11" t="str">
        <x:v>ST04</x:v>
      </x:c>
      <x:c r="B73" s="11" t="str">
        <x:v>背部收纳</x:v>
      </x:c>
      <x:c r="C73" s="11" t="str">
        <x:v>Switch托架</x:v>
      </x:c>
      <x:c r="D73" s="11" t="str">
        <x:v>一套含左右支爪</x:v>
      </x:c>
      <x:c r="E73" s="17" t="n">
        <x:v>1</x:v>
      </x:c>
      <x:c r="F73" s="11" t="str">
        <x:v>套</x:v>
      </x:c>
      <x:c r="G73" s="11" t="str">
        <x:v>待机型确认</x:v>
      </x:c>
      <x:c r="H73" s="11" t="str">
        <x:v>按未来Switch机型及底座外形核实，留出插拔空间。</x:v>
      </x:c>
      <x:c r="I73" s="11" t="str">
        <x:v>S00</x:v>
      </x:c>
      <x:c r="J73" s="20" t="str"/>
    </x:row>
    <x:row r="74" ht="42" customHeight="1">
      <x:c r="A74" s="11" t="str">
        <x:v>ST05</x:v>
      </x:c>
      <x:c r="B74" s="11" t="str">
        <x:v>背部收纳</x:v>
      </x:c>
      <x:c r="C74" s="11" t="str">
        <x:v>线圈挂钩</x:v>
      </x:c>
      <x:c r="D74" s="11" t="str">
        <x:v>模型3处</x:v>
      </x:c>
      <x:c r="E74" s="17" t="n">
        <x:v>3</x:v>
      </x:c>
      <x:c r="F74" s="11" t="str">
        <x:v>个</x:v>
      </x:c>
      <x:c r="G74" s="11" t="str">
        <x:v>待型号确认</x:v>
      </x:c>
      <x:c r="H74" s="11" t="str">
        <x:v>挂线、耳机或小件，核对孔型和防脱。</x:v>
      </x:c>
      <x:c r="I74" s="11" t="str">
        <x:v>S00</x:v>
      </x:c>
      <x:c r="J74" s="20" t="str"/>
    </x:row>
    <x:row r="75" ht="42" customHeight="1">
      <x:c r="A75" s="11" t="str">
        <x:v>ST06</x:v>
      </x:c>
      <x:c r="B75" s="11" t="str">
        <x:v>背部收纳</x:v>
      </x:c>
      <x:c r="C75" s="11" t="str">
        <x:v>备用短挂钩</x:v>
      </x:c>
      <x:c r="D75" s="11" t="str">
        <x:v>模型2处</x:v>
      </x:c>
      <x:c r="E75" s="17" t="n">
        <x:v>2</x:v>
      </x:c>
      <x:c r="F75" s="11" t="str">
        <x:v>个</x:v>
      </x:c>
      <x:c r="G75" s="11" t="str">
        <x:v>待型号确认</x:v>
      </x:c>
      <x:c r="H75" s="11" t="str">
        <x:v>与同一洞洞板系统配套。</x:v>
      </x:c>
      <x:c r="I75" s="11" t="str">
        <x:v>S00</x:v>
      </x:c>
      <x:c r="J75" s="20" t="str"/>
    </x:row>
    <x:row r="76" ht="42" customHeight="1">
      <x:c r="A76" s="11" t="str">
        <x:v>EL01</x:v>
      </x:c>
      <x:c r="B76" s="11" t="str">
        <x:v>走线</x:v>
      </x:c>
      <x:c r="C76" s="11" t="str">
        <x:v>成品排插及固定支架</x:v>
      </x:c>
      <x:c r="D76" s="11" t="str">
        <x:v>建议至少6插位，适配实际设备功耗</x:v>
      </x:c>
      <x:c r="E76" s="17" t="n">
        <x:v>1</x:v>
      </x:c>
      <x:c r="F76" s="11" t="str">
        <x:v>套</x:v>
      </x:c>
      <x:c r="G76" s="11" t="str">
        <x:v>待型号确认</x:v>
      </x:c>
      <x:c r="H76" s="11" t="str">
        <x:v>固定在框架，保留可拔插和移动电源余量，不做自制市电接线。</x:v>
      </x:c>
      <x:c r="I76" s="11" t="str">
        <x:v>S00</x:v>
      </x:c>
      <x:c r="J76" s="20" t="str"/>
    </x:row>
    <x:row r="77" ht="42" customHeight="1">
      <x:c r="A77" s="11" t="str">
        <x:v>EL02</x:v>
      </x:c>
      <x:c r="B77" s="11" t="str">
        <x:v>走线</x:v>
      </x:c>
      <x:c r="C77" s="11" t="str">
        <x:v>板下理线槽</x:v>
      </x:c>
      <x:c r="D77" s="11" t="str">
        <x:v>参考20×10截面，净长1320</x:v>
      </x:c>
      <x:c r="E77" s="17" t="n">
        <x:v>2</x:v>
      </x:c>
      <x:c r="F77" s="11" t="str">
        <x:v>米</x:v>
      </x:c>
      <x:c r="G77" s="11" t="str">
        <x:v>毛坯预留</x:v>
      </x:c>
      <x:c r="H77" s="11" t="str">
        <x:v>按实际插头弯曲半径及电源布局确定截面。</x:v>
      </x:c>
      <x:c r="I77" s="11" t="str">
        <x:v>S00</x:v>
      </x:c>
      <x:c r="J77" s="20" t="str"/>
    </x:row>
    <x:row r="78" ht="42" customHeight="1">
      <x:c r="A78" s="11" t="str">
        <x:v>EL03</x:v>
      </x:c>
      <x:c r="B78" s="11" t="str">
        <x:v>走线</x:v>
      </x:c>
      <x:c r="C78" s="11" t="str">
        <x:v>理线夹</x:v>
      </x:c>
      <x:c r="D78" s="11" t="str">
        <x:v>装饰与信号线分处固定参考</x:v>
      </x:c>
      <x:c r="E78" s="17" t="n">
        <x:v>20</x:v>
      </x:c>
      <x:c r="F78" s="11" t="str">
        <x:v>个</x:v>
      </x:c>
      <x:c r="G78" s="11" t="str">
        <x:v>预留数量</x:v>
      </x:c>
      <x:c r="H78" s="11" t="str">
        <x:v>现场按线路补减；边缘过线位置加护口。</x:v>
      </x:c>
      <x:c r="I78" s="11" t="str">
        <x:v>S00</x:v>
      </x:c>
      <x:c r="J78" s="20" t="str"/>
    </x:row>
    <x:row r="79" ht="42" customHeight="1">
      <x:c r="A79" s="11" t="str">
        <x:v>EL04</x:v>
      </x:c>
      <x:c r="B79" s="11" t="str">
        <x:v>走线</x:v>
      </x:c>
      <x:c r="C79" s="11" t="str">
        <x:v>可重复理线带</x:v>
      </x:c>
      <x:c r="D79" s="11" t="str">
        <x:v>柔软可拆款</x:v>
      </x:c>
      <x:c r="E79" s="17" t="n">
        <x:v>20</x:v>
      </x:c>
      <x:c r="F79" s="11" t="str">
        <x:v>条</x:v>
      </x:c>
      <x:c r="G79" s="11" t="str">
        <x:v>预留数量</x:v>
      </x:c>
      <x:c r="H79" s="11" t="str">
        <x:v>可按原厂附带物扣减，不勒紧电缆。</x:v>
      </x:c>
      <x:c r="I79" s="11" t="str">
        <x:v>S00</x:v>
      </x:c>
      <x:c r="J79" s="20" t="str"/>
    </x:row>
    <x:row r="80" ht="42" customHeight="1">
      <x:c r="A80" s="11" t="str">
        <x:v>EL05</x:v>
      </x:c>
      <x:c r="B80" s="11" t="str">
        <x:v>走线</x:v>
      </x:c>
      <x:c r="C80" s="11" t="str">
        <x:v>过线护口/护边</x:v>
      </x:c>
      <x:c r="D80" s="11" t="str">
        <x:v>按型材与板材出线位置配套</x:v>
      </x:c>
      <x:c r="E80" s="17" t="n">
        <x:v>1</x:v>
      </x:c>
      <x:c r="F80" s="11" t="str">
        <x:v>批</x:v>
      </x:c>
      <x:c r="G80" s="11" t="str">
        <x:v>待布线确认</x:v>
      </x:c>
      <x:c r="H80" s="11" t="str">
        <x:v>过孔数量未定，避免把批数误作已核定件数。</x:v>
      </x:c>
      <x:c r="I80" s="11" t="str">
        <x:v>S00</x:v>
      </x:c>
      <x:c r="J80" s="20" t="str"/>
    </x:row>
    <x:row r="81" ht="42" customHeight="1">
      <x:c r="A81" s="11" t="str">
        <x:v>HW01</x:v>
      </x:c>
      <x:c r="B81" s="11" t="str">
        <x:v>紧固件</x:v>
      </x:c>
      <x:c r="C81" s="11" t="str">
        <x:v>M8螺栓、T母、防松件</x:v>
      </x:c>
      <x:c r="D81" s="11" t="str">
        <x:v>按连接节点、螺纹长度分别配套</x:v>
      </x:c>
      <x:c r="E81" s="17"/>
      <x:c r="F81" s="11" t="str">
        <x:v>套</x:v>
      </x:c>
      <x:c r="G81" s="11" t="str">
        <x:v>待节点确认</x:v>
      </x:c>
      <x:c r="H81" s="11" t="str">
        <x:v>不按模型小圆柱数采购；见节点表输入栏，包含可核定节点的数量汇总。</x:v>
      </x:c>
      <x:c r="I81" s="11" t="str">
        <x:v>S00</x:v>
      </x:c>
      <x:c r="J81" s="20" t="str"/>
    </x:row>
    <x:row r="82" ht="42" customHeight="1">
      <x:c r="A82" s="11" t="str">
        <x:v>HW02</x:v>
      </x:c>
      <x:c r="B82" s="11" t="str">
        <x:v>紧固件</x:v>
      </x:c>
      <x:c r="C82" s="11" t="str">
        <x:v>M6/M5/M4配套紧固件</x:v>
      </x:c>
      <x:c r="D82" s="11" t="str">
        <x:v>按3030/2020、板件及饰条分别配套</x:v>
      </x:c>
      <x:c r="E82" s="17"/>
      <x:c r="F82" s="11" t="str">
        <x:v>套</x:v>
      </x:c>
      <x:c r="G82" s="11" t="str">
        <x:v>待节点确认</x:v>
      </x:c>
      <x:c r="H82" s="11" t="str">
        <x:v>螺纹和槽宽要同时匹配；滑块/T母、垫圈、防松件随各节点成套。</x:v>
      </x:c>
      <x:c r="I82" s="11" t="str">
        <x:v>S00</x:v>
      </x:c>
      <x:c r="J82" s="20" t="str"/>
    </x:row>
    <x:row r="83" ht="42" customHeight="1">
      <x:c r="A83" s="11" t="str">
        <x:v>EX01</x:v>
      </x:c>
      <x:c r="B83" s="11" t="str">
        <x:v>选配</x:v>
      </x:c>
      <x:c r="C83" s="11" t="str">
        <x:v>槽口盖条</x:v>
      </x:c>
      <x:c r="D83" s="11" t="str">
        <x:v>与40/30/20系列槽口分别匹配</x:v>
      </x:c>
      <x:c r="E83" s="17"/>
      <x:c r="F83" s="11" t="str">
        <x:v>米</x:v>
      </x:c>
      <x:c r="G83" s="11" t="str">
        <x:v>选配实测</x:v>
      </x:c>
      <x:c r="H83" s="11" t="str">
        <x:v>只封必要外露槽口，长度以装配后实测，不与亚克力饰条重复。</x:v>
      </x:c>
      <x:c r="I83" s="11" t="str">
        <x:v>S00</x:v>
      </x:c>
      <x:c r="J83" s="20" t="str"/>
    </x:row>
    <x:row r="84" ht="42" customHeight="1">
      <x:c r="A84" s="12" t="str">
        <x:v>EX02</x:v>
      </x:c>
      <x:c r="B84" s="12" t="str">
        <x:v>地面过渡</x:v>
      </x:c>
      <x:c r="C84" s="12" t="str">
        <x:v>13mm毯边过渡条</x:v>
      </x:c>
      <x:c r="D84" s="12" t="str">
        <x:v>行进方向坡长≥100参考</x:v>
      </x:c>
      <x:c r="E84" s="18" t="n">
        <x:v>1</x:v>
      </x:c>
      <x:c r="F84" s="12" t="str">
        <x:v>项</x:v>
      </x:c>
      <x:c r="G84" s="12" t="str">
        <x:v>选配实测</x:v>
      </x:c>
      <x:c r="H84" s="12" t="str">
        <x:v>沿毯边宽度覆盖全部轮迹；按实际路径裁长并固定，仍需试推。</x:v>
      </x:c>
      <x:c r="I84" s="12" t="str">
        <x:v>S00</x:v>
      </x:c>
      <x:c r="J84" s="21" t="str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</x:row>
  </x:sheetData>
  <x:conditionalFormatting sqref="G8:G84">
    <x:cfRule type="containsText" dxfId="0" priority="1" operator="containsText" text="需修"/>
    <x:cfRule type="containsText" dxfId="1" priority="2" operator="containsText" text="待"/>
  </x:conditionalFormatting>
  <x:pageMargins left="0.7" right="0.7" top="0.75" bottom="0.75" header="0.3" footer="0.3"/>
  <x:tableParts count="1">
    <x:tablePart xmlns:r="http://schemas.openxmlformats.org/officeDocument/2006/relationships" r:id="R465f00030803480e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14" hidden="0" customWidth="1"/>
    <x:col min="2" max="2" width="26" hidden="0" customWidth="1"/>
    <x:col min="3" max="3" width="28" hidden="0" customWidth="1"/>
    <x:col min="4" max="4" width="40" hidden="0" customWidth="1"/>
    <x:col min="5" max="5" width="18" hidden="0" customWidth="1"/>
    <x:col min="6" max="6" width="20" hidden="0" customWidth="1"/>
    <x:col min="7" max="7" width="22" hidden="0" customWidth="1"/>
    <x:col min="8" max="8" width="48" hidden="0" customWidth="1"/>
    <x:col min="9" max="9" width="60" hidden="0" customWidth="1"/>
    <x:col min="10" max="10" width="4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>
      <x:c r="A2" s="3" t="str">
        <x:v>型材定尺与拉线参考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>
      <x:c r="A3" s="4" t="str">
        <x:v>所有长度均来自V9名义几何；下单前先确定槽系、节点和斜撑修改。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>
      <x:c r="A4" s="5" t="str">
        <x:v>直型材表为裸料轴向尺寸；斜撑为锚点中心距。单位mm，米数由公式计算。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</x:row>
    <x:row r="7" ht="32" customHeight="1">
      <x:c r="A7" s="8" t="str">
        <x:v>组号</x:v>
      </x:c>
      <x:c r="B7" s="8" t="str">
        <x:v>截面 / mm</x:v>
      </x:c>
      <x:c r="C7" s="8" t="str">
        <x:v>用途</x:v>
      </x:c>
      <x:c r="D7" s="8" t="str">
        <x:v>参考单长 / mm</x:v>
      </x:c>
      <x:c r="E7" s="8" t="str">
        <x:v>数量</x:v>
      </x:c>
      <x:c r="F7" s="8" t="str">
        <x:v>名义总长 / m</x:v>
      </x:c>
      <x:c r="G7" s="8" t="str">
        <x:v>长度类别</x:v>
      </x:c>
      <x:c r="H7" s="8" t="str">
        <x:v>下料条件</x:v>
      </x:c>
      <x:c r="I7" s="8" t="str">
        <x:v>逐件编号</x:v>
      </x:c>
      <x:c r="J7" s="2"/>
    </x:row>
    <x:row r="8" ht="32" customHeight="1">
      <x:c r="A8" s="10" t="str">
        <x:v>AL01</x:v>
      </x:c>
      <x:c r="B8" s="10" t="str">
        <x:v>40x80</x:v>
      </x:c>
      <x:c r="C8" s="10" t="str">
        <x:v>底座两侧纵梁</x:v>
      </x:c>
      <x:c r="D8" s="22" t="n">
        <x:v>780</x:v>
      </x:c>
      <x:c r="E8" s="25" t="n">
        <x:v>2</x:v>
      </x:c>
      <x:c r="F8" s="28" t="n">
        <x:f>D8*E8/1000</x:f>
        <x:v>1.56</x:v>
      </x:c>
      <x:c r="G8" s="10" t="str">
        <x:v>裸料轴向长度</x:v>
      </x:c>
      <x:c r="H8" s="10" t="str">
        <x:v>节点确认后冻结</x:v>
      </x:c>
      <x:c r="I8" s="10" t="str">
        <x:v>P01、P02</x:v>
      </x:c>
      <x:c r="J8" s="2"/>
    </x:row>
    <x:row r="9" ht="32" customHeight="1">
      <x:c r="A9" s="11" t="str">
        <x:v>AL02</x:v>
      </x:c>
      <x:c r="B9" s="11" t="str">
        <x:v>40x80</x:v>
      </x:c>
      <x:c r="C9" s="11" t="str">
        <x:v>底座前后长梁</x:v>
      </x:c>
      <x:c r="D9" s="23" t="n">
        <x:v>2310</x:v>
      </x:c>
      <x:c r="E9" s="26" t="n">
        <x:v>2</x:v>
      </x:c>
      <x:c r="F9" s="29" t="n">
        <x:f>D9*E9/1000</x:f>
        <x:v>4.62</x:v>
      </x:c>
      <x:c r="G9" s="11" t="str">
        <x:v>裸料轴向长度</x:v>
      </x:c>
      <x:c r="H9" s="11" t="str">
        <x:v>节点确认后冻结</x:v>
      </x:c>
      <x:c r="I9" s="11" t="str">
        <x:v>P03、P04</x:v>
      </x:c>
      <x:c r="J9" s="2"/>
    </x:row>
    <x:row r="10" ht="32" customHeight="1">
      <x:c r="A10" s="11" t="str">
        <x:v>AL03</x:v>
      </x:c>
      <x:c r="B10" s="11" t="str">
        <x:v>40x80</x:v>
      </x:c>
      <x:c r="C10" s="11" t="str">
        <x:v>底座横向承重梁</x:v>
      </x:c>
      <x:c r="D10" s="23" t="n">
        <x:v>640</x:v>
      </x:c>
      <x:c r="E10" s="26" t="n">
        <x:v>4</x:v>
      </x:c>
      <x:c r="F10" s="29" t="n">
        <x:f>D10*E10/1000</x:f>
        <x:v>2.56</x:v>
      </x:c>
      <x:c r="G10" s="11" t="str">
        <x:v>裸料轴向长度</x:v>
      </x:c>
      <x:c r="H10" s="11" t="str">
        <x:v>节点确认后冻结</x:v>
      </x:c>
      <x:c r="I10" s="11" t="str">
        <x:v>P05、P06、P07、P08</x:v>
      </x:c>
      <x:c r="J10" s="2"/>
    </x:row>
    <x:row r="11" ht="32" customHeight="1">
      <x:c r="A11" s="11" t="str">
        <x:v>AL04</x:v>
      </x:c>
      <x:c r="B11" s="11" t="str">
        <x:v>40x80</x:v>
      </x:c>
      <x:c r="C11" s="11" t="str">
        <x:v>左右主立柱</x:v>
      </x:c>
      <x:c r="D11" s="23" t="n">
        <x:v>1560</x:v>
      </x:c>
      <x:c r="E11" s="26" t="n">
        <x:v>2</x:v>
      </x:c>
      <x:c r="F11" s="29" t="n">
        <x:f>D11*E11/1000</x:f>
        <x:v>3.12</x:v>
      </x:c>
      <x:c r="G11" s="11" t="str">
        <x:v>裸料轴向长度</x:v>
      </x:c>
      <x:c r="H11" s="11" t="str">
        <x:v>节点确认后冻结</x:v>
      </x:c>
      <x:c r="I11" s="11" t="str">
        <x:v>P09、P10</x:v>
      </x:c>
      <x:c r="J11" s="2"/>
    </x:row>
    <x:row r="12" ht="32" customHeight="1">
      <x:c r="A12" s="11" t="str">
        <x:v>AL05</x:v>
      </x:c>
      <x:c r="B12" s="11" t="str">
        <x:v>40x80</x:v>
      </x:c>
      <x:c r="C12" s="11" t="str">
        <x:v>电视三道横梁</x:v>
      </x:c>
      <x:c r="D12" s="23" t="n">
        <x:v>2120</x:v>
      </x:c>
      <x:c r="E12" s="26" t="n">
        <x:v>3</x:v>
      </x:c>
      <x:c r="F12" s="29" t="n">
        <x:f>D12*E12/1000</x:f>
        <x:v>6.36</x:v>
      </x:c>
      <x:c r="G12" s="11" t="str">
        <x:v>裸料轴向长度</x:v>
      </x:c>
      <x:c r="H12" s="11" t="str">
        <x:v>节点确认后冻结</x:v>
      </x:c>
      <x:c r="I12" s="11" t="str">
        <x:v>P11、P12、P13</x:v>
      </x:c>
      <x:c r="J12" s="2"/>
    </x:row>
    <x:row r="13" ht="32" customHeight="1">
      <x:c r="A13" s="11" t="str">
        <x:v>AL06</x:v>
      </x:c>
      <x:c r="B13" s="11" t="str">
        <x:v>40x40</x:v>
      </x:c>
      <x:c r="C13" s="11" t="str">
        <x:v>上层前后横梁</x:v>
      </x:c>
      <x:c r="D13" s="23" t="n">
        <x:v>2120</x:v>
      </x:c>
      <x:c r="E13" s="26" t="n">
        <x:v>2</x:v>
      </x:c>
      <x:c r="F13" s="29" t="n">
        <x:f>D13*E13/1000</x:f>
        <x:v>4.24</x:v>
      </x:c>
      <x:c r="G13" s="11" t="str">
        <x:v>裸料轴向长度</x:v>
      </x:c>
      <x:c r="H13" s="11" t="str">
        <x:v>节点确认后冻结</x:v>
      </x:c>
      <x:c r="I13" s="11" t="str">
        <x:v>P14、P15</x:v>
      </x:c>
      <x:c r="J13" s="2"/>
    </x:row>
    <x:row r="14" ht="32" customHeight="1">
      <x:c r="A14" s="11" t="str">
        <x:v>AL07</x:v>
      </x:c>
      <x:c r="B14" s="11" t="str">
        <x:v>40x40</x:v>
      </x:c>
      <x:c r="C14" s="11" t="str">
        <x:v>上层后侧连接短梁</x:v>
      </x:c>
      <x:c r="D14" s="23" t="n">
        <x:v>60</x:v>
      </x:c>
      <x:c r="E14" s="26" t="n">
        <x:v>2</x:v>
      </x:c>
      <x:c r="F14" s="29" t="n">
        <x:f>D14*E14/1000</x:f>
        <x:v>0.12</x:v>
      </x:c>
      <x:c r="G14" s="11" t="str">
        <x:v>裸料轴向长度</x:v>
      </x:c>
      <x:c r="H14" s="11" t="str">
        <x:v>节点确认后冻结</x:v>
      </x:c>
      <x:c r="I14" s="11" t="str">
        <x:v>P16、P18</x:v>
      </x:c>
      <x:c r="J14" s="2"/>
    </x:row>
    <x:row r="15" ht="32" customHeight="1">
      <x:c r="A15" s="11" t="str">
        <x:v>AL08</x:v>
      </x:c>
      <x:c r="B15" s="11" t="str">
        <x:v>40x40</x:v>
      </x:c>
      <x:c r="C15" s="11" t="str">
        <x:v>上层前侧连接梁</x:v>
      </x:c>
      <x:c r="D15" s="23" t="n">
        <x:v>320</x:v>
      </x:c>
      <x:c r="E15" s="26" t="n">
        <x:v>2</x:v>
      </x:c>
      <x:c r="F15" s="29" t="n">
        <x:f>D15*E15/1000</x:f>
        <x:v>0.64</x:v>
      </x:c>
      <x:c r="G15" s="11" t="str">
        <x:v>裸料轴向长度</x:v>
      </x:c>
      <x:c r="H15" s="11" t="str">
        <x:v>涉及斜撑干涉，暂缓下料</x:v>
      </x:c>
      <x:c r="I15" s="11" t="str">
        <x:v>P17、P19</x:v>
      </x:c>
      <x:c r="J15" s="2"/>
    </x:row>
    <x:row r="16" ht="32" customHeight="1">
      <x:c r="A16" s="11" t="str">
        <x:v>AL09</x:v>
      </x:c>
      <x:c r="B16" s="11" t="str">
        <x:v>40x40</x:v>
      </x:c>
      <x:c r="C16" s="11" t="str">
        <x:v>双层收纳短立柱</x:v>
      </x:c>
      <x:c r="D16" s="23" t="n">
        <x:v>260</x:v>
      </x:c>
      <x:c r="E16" s="26" t="n">
        <x:v>4</x:v>
      </x:c>
      <x:c r="F16" s="29" t="n">
        <x:f>D16*E16/1000</x:f>
        <x:v>1.04</x:v>
      </x:c>
      <x:c r="G16" s="11" t="str">
        <x:v>裸料轴向长度</x:v>
      </x:c>
      <x:c r="H16" s="11" t="str">
        <x:v>节点确认后冻结</x:v>
      </x:c>
      <x:c r="I16" s="11" t="str">
        <x:v>P20、P21、P22、P23</x:v>
      </x:c>
      <x:c r="J16" s="2"/>
    </x:row>
    <x:row r="17" ht="32" customHeight="1">
      <x:c r="A17" s="11" t="str">
        <x:v>AL10</x:v>
      </x:c>
      <x:c r="B17" s="11" t="str">
        <x:v>40x40</x:v>
      </x:c>
      <x:c r="C17" s="11" t="str">
        <x:v>设备篮底框长梁</x:v>
      </x:c>
      <x:c r="D17" s="23" t="n">
        <x:v>1480</x:v>
      </x:c>
      <x:c r="E17" s="26" t="n">
        <x:v>2</x:v>
      </x:c>
      <x:c r="F17" s="29" t="n">
        <x:f>D17*E17/1000</x:f>
        <x:v>2.96</x:v>
      </x:c>
      <x:c r="G17" s="11" t="str">
        <x:v>裸料轴向长度</x:v>
      </x:c>
      <x:c r="H17" s="11" t="str">
        <x:v>节点确认后冻结</x:v>
      </x:c>
      <x:c r="I17" s="11" t="str">
        <x:v>P24、P25</x:v>
      </x:c>
      <x:c r="J17" s="2"/>
    </x:row>
    <x:row r="18" ht="32" customHeight="1">
      <x:c r="A18" s="11" t="str">
        <x:v>AL11</x:v>
      </x:c>
      <x:c r="B18" s="11" t="str">
        <x:v>40x40</x:v>
      </x:c>
      <x:c r="C18" s="11" t="str">
        <x:v>设备篮底框横托</x:v>
      </x:c>
      <x:c r="D18" s="23" t="n">
        <x:v>520</x:v>
      </x:c>
      <x:c r="E18" s="26" t="n">
        <x:v>7</x:v>
      </x:c>
      <x:c r="F18" s="29" t="n">
        <x:f>D18*E18/1000</x:f>
        <x:v>3.64</x:v>
      </x:c>
      <x:c r="G18" s="11" t="str">
        <x:v>裸料轴向长度</x:v>
      </x:c>
      <x:c r="H18" s="11" t="str">
        <x:v>节点确认后冻结</x:v>
      </x:c>
      <x:c r="I18" s="11" t="str">
        <x:v>P26、P27、P28、P29、P30、P31、P32</x:v>
      </x:c>
      <x:c r="J18" s="2"/>
    </x:row>
    <x:row r="19" ht="32" customHeight="1">
      <x:c r="A19" s="11" t="str">
        <x:v>AL12</x:v>
      </x:c>
      <x:c r="B19" s="11" t="str">
        <x:v>20x20</x:v>
      </x:c>
      <x:c r="C19" s="11" t="str">
        <x:v>亚克力板下横托</x:v>
      </x:c>
      <x:c r="D19" s="23" t="n">
        <x:v>380</x:v>
      </x:c>
      <x:c r="E19" s="26" t="n">
        <x:v>6</x:v>
      </x:c>
      <x:c r="F19" s="29" t="n">
        <x:f>D19*E19/1000</x:f>
        <x:v>2.28</x:v>
      </x:c>
      <x:c r="G19" s="11" t="str">
        <x:v>裸料轴向长度</x:v>
      </x:c>
      <x:c r="H19" s="11" t="str">
        <x:v>节点确认后冻结</x:v>
      </x:c>
      <x:c r="I19" s="11" t="str">
        <x:v>P33、P34、P35、P36、P37、P38</x:v>
      </x:c>
      <x:c r="J19" s="2"/>
    </x:row>
    <x:row r="20" ht="32" customHeight="1">
      <x:c r="A20" s="11" t="str">
        <x:v>AL13</x:v>
      </x:c>
      <x:c r="B20" s="11" t="str">
        <x:v>40x40</x:v>
      </x:c>
      <x:c r="C20" s="11" t="str">
        <x:v>装饰拉线短塔</x:v>
      </x:c>
      <x:c r="D20" s="23" t="n">
        <x:v>188</x:v>
      </x:c>
      <x:c r="E20" s="26" t="n">
        <x:v>2</x:v>
      </x:c>
      <x:c r="F20" s="29" t="n">
        <x:f>D20*E20/1000</x:f>
        <x:v>0.376</x:v>
      </x:c>
      <x:c r="G20" s="11" t="str">
        <x:v>裸料轴向长度</x:v>
      </x:c>
      <x:c r="H20" s="11" t="str">
        <x:v>节点确认后冻结</x:v>
      </x:c>
      <x:c r="I20" s="11" t="str">
        <x:v>P39、P40</x:v>
      </x:c>
      <x:c r="J20" s="2"/>
    </x:row>
    <x:row r="21" ht="32" customHeight="1">
      <x:c r="A21" s="11" t="str">
        <x:v>D01</x:v>
      </x:c>
      <x:c r="B21" s="11" t="str">
        <x:v>30x30</x:v>
      </x:c>
      <x:c r="C21" s="11" t="str">
        <x:v>后侧刚性斜撑</x:v>
      </x:c>
      <x:c r="D21" s="23" t="n">
        <x:v>687.3601675977449</x:v>
      </x:c>
      <x:c r="E21" s="26" t="n">
        <x:v>2</x:v>
      </x:c>
      <x:c r="F21" s="29" t="n">
        <x:f>D21*E21/1000</x:f>
        <x:v>1.3747203351954898</x:v>
      </x:c>
      <x:c r="G21" s="11" t="str">
        <x:v>锚点中心距</x:v>
      </x:c>
      <x:c r="H21" s="11" t="str">
        <x:v>斜切、端部连接及前斜撑位置尚未冻结</x:v>
      </x:c>
      <x:c r="I21" s="11" t="str">
        <x:v>D1、D3</x:v>
      </x:c>
      <x:c r="J21" s="2"/>
    </x:row>
    <x:row r="22" ht="32" customHeight="1">
      <x:c r="A22" s="12" t="str">
        <x:v>D02</x:v>
      </x:c>
      <x:c r="B22" s="12" t="str">
        <x:v>30x30</x:v>
      </x:c>
      <x:c r="C22" s="12" t="str">
        <x:v>前侧刚性斜撑</x:v>
      </x:c>
      <x:c r="D22" s="24" t="n">
        <x:v>767.6353300884477</x:v>
      </x:c>
      <x:c r="E22" s="27" t="n">
        <x:v>2</x:v>
      </x:c>
      <x:c r="F22" s="30" t="n">
        <x:f>D22*E22/1000</x:f>
        <x:v>1.5352706601768955</x:v>
      </x:c>
      <x:c r="G22" s="12" t="str">
        <x:v>锚点中心距</x:v>
      </x:c>
      <x:c r="H22" s="12" t="str">
        <x:v>斜切、端部连接及前斜撑位置尚未冻结</x:v>
      </x:c>
      <x:c r="I22" s="12" t="str">
        <x:v>D2、D4</x:v>
      </x:c>
      <x:c r="J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</x:row>
    <x:row r="24">
      <x:c r="A24" s="2"/>
      <x:c r="B24" s="2"/>
      <x:c r="C24" s="2" t="str">
        <x:v>直型材净长 / m</x:v>
      </x:c>
      <x:c r="D24" s="2"/>
      <x:c r="E24" s="2"/>
      <x:c r="F24" s="31" t="n">
        <x:f>SUM(F8:F20)</x:f>
        <x:v>33.516</x:v>
      </x:c>
      <x:c r="G24" s="2"/>
      <x:c r="H24" s="2"/>
      <x:c r="I24" s="2"/>
      <x:c r="J24" s="2"/>
    </x:row>
    <x:row r="25">
      <x:c r="A25" s="2"/>
      <x:c r="B25" s="2"/>
      <x:c r="C25" s="2" t="str">
        <x:v>含斜撑中心距 / m</x:v>
      </x:c>
      <x:c r="D25" s="2"/>
      <x:c r="E25" s="2"/>
      <x:c r="F25" s="31" t="n">
        <x:f>SUM(F8:F22)</x:f>
        <x:v>36.42599099537239</x:v>
      </x:c>
      <x:c r="G25" s="2"/>
      <x:c r="H25" s="2"/>
      <x:c r="I25" s="2"/>
      <x:c r="J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</x:row>
    <x:row r="27">
      <x:c r="A27" s="2" t="str">
        <x:v>原材排料示例。假设库存有3m与6m，锯缝3mm，两端合计修整20mm；不含3030斜撑。</x:v>
      </x:c>
      <x:c r="B27" s="2"/>
      <x:c r="C27" s="2"/>
      <x:c r="D27" s="2"/>
      <x:c r="E27" s="2"/>
      <x:c r="F27" s="2"/>
      <x:c r="G27" s="2"/>
      <x:c r="H27" s="2"/>
      <x:c r="I27" s="2"/>
      <x:c r="J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</x:row>
    <x:row r="29" ht="32" customHeight="1">
      <x:c r="A29" s="8" t="str">
        <x:v>原材号</x:v>
      </x:c>
      <x:c r="B29" s="8" t="str">
        <x:v>截面</x:v>
      </x:c>
      <x:c r="C29" s="8" t="str">
        <x:v>原材长 / mm</x:v>
      </x:c>
      <x:c r="D29" s="8" t="str">
        <x:v>切件组合 / mm</x:v>
      </x:c>
      <x:c r="E29" s="8" t="str">
        <x:v>切件净长 / mm</x:v>
      </x:c>
      <x:c r="F29" s="8" t="str">
        <x:v>件数</x:v>
      </x:c>
      <x:c r="G29" s="8" t="str">
        <x:v>锯缝 / mm</x:v>
      </x:c>
      <x:c r="H29" s="8" t="str">
        <x:v>端耗 / mm</x:v>
      </x:c>
      <x:c r="I29" s="8" t="str">
        <x:v>余料 / mm</x:v>
      </x:c>
      <x:c r="J29" s="8" t="str">
        <x:v>备注</x:v>
      </x:c>
    </x:row>
    <x:row r="30" ht="38" customHeight="1">
      <x:c r="A30" s="10" t="str">
        <x:v>40x80-1</x:v>
      </x:c>
      <x:c r="B30" s="10" t="str">
        <x:v>40x80</x:v>
      </x:c>
      <x:c r="C30" s="13" t="n">
        <x:v>6000</x:v>
      </x:c>
      <x:c r="D30" s="13" t="str">
        <x:v>2310 + 2310 + 780</x:v>
      </x:c>
      <x:c r="E30" s="13" t="n">
        <x:v>5400</x:v>
      </x:c>
      <x:c r="F30" s="13" t="n">
        <x:v>3</x:v>
      </x:c>
      <x:c r="G30" s="32" t="n">
        <x:v>3</x:v>
      </x:c>
      <x:c r="H30" s="32" t="n">
        <x:v>20</x:v>
      </x:c>
      <x:c r="I30" s="13" t="n">
        <x:f>C30-E30-F30*G30-H30</x:f>
        <x:v>571</x:v>
      </x:c>
      <x:c r="J30" s="10" t="str">
        <x:v>按成品切件询价可不购买整根余料</x:v>
      </x:c>
    </x:row>
    <x:row r="31" ht="38" customHeight="1">
      <x:c r="A31" s="11" t="str">
        <x:v>40x80-2</x:v>
      </x:c>
      <x:c r="B31" s="11" t="str">
        <x:v>40x80</x:v>
      </x:c>
      <x:c r="C31" s="14" t="n">
        <x:v>6000</x:v>
      </x:c>
      <x:c r="D31" s="14" t="str">
        <x:v>2120 + 2120 + 1560</x:v>
      </x:c>
      <x:c r="E31" s="14" t="n">
        <x:v>5800</x:v>
      </x:c>
      <x:c r="F31" s="14" t="n">
        <x:v>3</x:v>
      </x:c>
      <x:c r="G31" s="33" t="n">
        <x:v>3</x:v>
      </x:c>
      <x:c r="H31" s="33" t="n">
        <x:v>20</x:v>
      </x:c>
      <x:c r="I31" s="14" t="n">
        <x:f>C31-E31-F31*G31-H31</x:f>
        <x:v>171</x:v>
      </x:c>
      <x:c r="J31" s="11" t="str">
        <x:v>按成品切件询价可不购买整根余料</x:v>
      </x:c>
    </x:row>
    <x:row r="32" ht="38" customHeight="1">
      <x:c r="A32" s="11" t="str">
        <x:v>40x80-3</x:v>
      </x:c>
      <x:c r="B32" s="11" t="str">
        <x:v>40x80</x:v>
      </x:c>
      <x:c r="C32" s="14" t="n">
        <x:v>6000</x:v>
      </x:c>
      <x:c r="D32" s="14" t="str">
        <x:v>2120 + 1560 + 780 + 640 + 640</x:v>
      </x:c>
      <x:c r="E32" s="14" t="n">
        <x:v>5740</x:v>
      </x:c>
      <x:c r="F32" s="14" t="n">
        <x:v>5</x:v>
      </x:c>
      <x:c r="G32" s="33" t="n">
        <x:v>3</x:v>
      </x:c>
      <x:c r="H32" s="33" t="n">
        <x:v>20</x:v>
      </x:c>
      <x:c r="I32" s="14" t="n">
        <x:f>C32-E32-F32*G32-H32</x:f>
        <x:v>225</x:v>
      </x:c>
      <x:c r="J32" s="11" t="str">
        <x:v>按成品切件询价可不购买整根余料</x:v>
      </x:c>
    </x:row>
    <x:row r="33" ht="38" customHeight="1">
      <x:c r="A33" s="11" t="str">
        <x:v>40x80-4</x:v>
      </x:c>
      <x:c r="B33" s="11" t="str">
        <x:v>40x80</x:v>
      </x:c>
      <x:c r="C33" s="14" t="n">
        <x:v>3000</x:v>
      </x:c>
      <x:c r="D33" s="14" t="str">
        <x:v>640 + 640</x:v>
      </x:c>
      <x:c r="E33" s="14" t="n">
        <x:v>1280</x:v>
      </x:c>
      <x:c r="F33" s="14" t="n">
        <x:v>2</x:v>
      </x:c>
      <x:c r="G33" s="33" t="n">
        <x:v>3</x:v>
      </x:c>
      <x:c r="H33" s="33" t="n">
        <x:v>20</x:v>
      </x:c>
      <x:c r="I33" s="14" t="n">
        <x:f>C33-E33-F33*G33-H33</x:f>
        <x:v>1694</x:v>
      </x:c>
      <x:c r="J33" s="11" t="str">
        <x:v>按成品切件询价可不购买整根余料</x:v>
      </x:c>
    </x:row>
    <x:row r="34" ht="38" customHeight="1">
      <x:c r="A34" s="11" t="str">
        <x:v>40x40-1</x:v>
      </x:c>
      <x:c r="B34" s="11" t="str">
        <x:v>40x40</x:v>
      </x:c>
      <x:c r="C34" s="14" t="n">
        <x:v>6000</x:v>
      </x:c>
      <x:c r="D34" s="14" t="str">
        <x:v>2120 + 2120 + 1480 + 188</x:v>
      </x:c>
      <x:c r="E34" s="14" t="n">
        <x:v>5908</x:v>
      </x:c>
      <x:c r="F34" s="14" t="n">
        <x:v>4</x:v>
      </x:c>
      <x:c r="G34" s="33" t="n">
        <x:v>3</x:v>
      </x:c>
      <x:c r="H34" s="33" t="n">
        <x:v>20</x:v>
      </x:c>
      <x:c r="I34" s="14" t="n">
        <x:f>C34-E34-F34*G34-H34</x:f>
        <x:v>60</x:v>
      </x:c>
      <x:c r="J34" s="11" t="str">
        <x:v>按成品切件询价可不购买整根余料</x:v>
      </x:c>
    </x:row>
    <x:row r="35" ht="38" customHeight="1">
      <x:c r="A35" s="11" t="str">
        <x:v>40x40-2</x:v>
      </x:c>
      <x:c r="B35" s="11" t="str">
        <x:v>40x40</x:v>
      </x:c>
      <x:c r="C35" s="14" t="n">
        <x:v>6000</x:v>
      </x:c>
      <x:c r="D35" s="14" t="str">
        <x:v>1480 + 520 + 520 + 520 + 520 + 520 + 520 + 520 + 320 + 320 + 60 + 60</x:v>
      </x:c>
      <x:c r="E35" s="14" t="n">
        <x:v>5880</x:v>
      </x:c>
      <x:c r="F35" s="14" t="n">
        <x:v>12</x:v>
      </x:c>
      <x:c r="G35" s="33" t="n">
        <x:v>3</x:v>
      </x:c>
      <x:c r="H35" s="33" t="n">
        <x:v>20</x:v>
      </x:c>
      <x:c r="I35" s="14" t="n">
        <x:f>C35-E35-F35*G35-H35</x:f>
        <x:v>64</x:v>
      </x:c>
      <x:c r="J35" s="11" t="str">
        <x:v>按成品切件询价可不购买整根余料</x:v>
      </x:c>
    </x:row>
    <x:row r="36" ht="38" customHeight="1">
      <x:c r="A36" s="11" t="str">
        <x:v>40x40-3</x:v>
      </x:c>
      <x:c r="B36" s="11" t="str">
        <x:v>40x40</x:v>
      </x:c>
      <x:c r="C36" s="14" t="n">
        <x:v>3000</x:v>
      </x:c>
      <x:c r="D36" s="14" t="str">
        <x:v>260 + 260 + 260 + 260 + 188</x:v>
      </x:c>
      <x:c r="E36" s="14" t="n">
        <x:v>1228</x:v>
      </x:c>
      <x:c r="F36" s="14" t="n">
        <x:v>5</x:v>
      </x:c>
      <x:c r="G36" s="33" t="n">
        <x:v>3</x:v>
      </x:c>
      <x:c r="H36" s="33" t="n">
        <x:v>20</x:v>
      </x:c>
      <x:c r="I36" s="14" t="n">
        <x:f>C36-E36-F36*G36-H36</x:f>
        <x:v>1737</x:v>
      </x:c>
      <x:c r="J36" s="11" t="str">
        <x:v>按成品切件询价可不购买整根余料</x:v>
      </x:c>
    </x:row>
    <x:row r="37" ht="38" customHeight="1">
      <x:c r="A37" s="12" t="str">
        <x:v>20x20-1</x:v>
      </x:c>
      <x:c r="B37" s="12" t="str">
        <x:v>20x20</x:v>
      </x:c>
      <x:c r="C37" s="15" t="n">
        <x:v>3000</x:v>
      </x:c>
      <x:c r="D37" s="15" t="str">
        <x:v>380 + 380 + 380 + 380 + 380 + 380</x:v>
      </x:c>
      <x:c r="E37" s="15" t="n">
        <x:v>2280</x:v>
      </x:c>
      <x:c r="F37" s="15" t="n">
        <x:v>6</x:v>
      </x:c>
      <x:c r="G37" s="34" t="n">
        <x:v>3</x:v>
      </x:c>
      <x:c r="H37" s="34" t="n">
        <x:v>20</x:v>
      </x:c>
      <x:c r="I37" s="15" t="n">
        <x:f>C37-E37-F37*G37-H37</x:f>
        <x:v>682</x:v>
      </x:c>
      <x:c r="J37" s="12" t="str">
        <x:v>按成品切件询价可不购买整根余料</x:v>
      </x:c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</x:row>
    <x:row r="40">
      <x:c r="A40" s="2" t="str">
        <x:v>装饰索毛坯估算。中心距不是成品钢丝净长，成品须扣除调节器/接头占长并校准。</x:v>
      </x:c>
      <x:c r="B40" s="2"/>
      <x:c r="C40" s="2"/>
      <x:c r="D40" s="2"/>
      <x:c r="E40" s="2"/>
      <x:c r="F40" s="2"/>
      <x:c r="G40" s="2"/>
      <x:c r="H40" s="2"/>
      <x:c r="I40" s="2"/>
      <x:c r="J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</x:row>
    <x:row r="42" ht="32" customHeight="1">
      <x:c r="A42" s="8" t="str">
        <x:v>组号</x:v>
      </x:c>
      <x:c r="B42" s="8" t="str">
        <x:v>用途</x:v>
      </x:c>
      <x:c r="C42" s="8" t="str">
        <x:v>外径参考 / mm</x:v>
      </x:c>
      <x:c r="D42" s="8" t="str">
        <x:v>锚点中心距 / mm</x:v>
      </x:c>
      <x:c r="E42" s="8" t="str">
        <x:v>数量</x:v>
      </x:c>
      <x:c r="F42" s="8" t="str">
        <x:v>每端毛坯预留 / mm</x:v>
      </x:c>
      <x:c r="G42" s="8" t="str">
        <x:v>单根毛坯 / mm</x:v>
      </x:c>
      <x:c r="H42" s="8" t="str">
        <x:v>总毛料 / m</x:v>
      </x:c>
      <x:c r="I42" s="8" t="str">
        <x:v>说明</x:v>
      </x:c>
      <x:c r="J42" s="2"/>
    </x:row>
    <x:row r="43" ht="42" customHeight="1">
      <x:c r="A43" s="10" t="str">
        <x:v>W1</x:v>
      </x:c>
      <x:c r="B43" s="10" t="str">
        <x:v>扇形装饰拉线</x:v>
      </x:c>
      <x:c r="C43" s="35" t="n">
        <x:v>2.2</x:v>
      </x:c>
      <x:c r="D43" s="35" t="n">
        <x:v>209.6950166312972</x:v>
      </x:c>
      <x:c r="E43" s="10" t="n">
        <x:v>2</x:v>
      </x:c>
      <x:c r="F43" s="10" t="n">
        <x:v>100</x:v>
      </x:c>
      <x:c r="G43" s="35" t="n">
        <x:f>D43+2*F43</x:f>
        <x:v>409.6950166312972</x:v>
      </x:c>
      <x:c r="H43" s="28" t="n">
        <x:f>G43*E43/1000</x:f>
        <x:v>0.8193900332625944</x:v>
      </x:c>
      <x:c r="I43" s="10" t="str">
        <x:v>预留100每端是毛料预算，压接和锁定按实际端头核定</x:v>
      </x:c>
      <x:c r="J43" s="2"/>
    </x:row>
    <x:row r="44" ht="42" customHeight="1">
      <x:c r="A44" s="11" t="str">
        <x:v>W2</x:v>
      </x:c>
      <x:c r="B44" s="11" t="str">
        <x:v>扇形装饰拉线</x:v>
      </x:c>
      <x:c r="C44" s="36" t="n">
        <x:v>2.2</x:v>
      </x:c>
      <x:c r="D44" s="36" t="n">
        <x:v>304.92130132216084</x:v>
      </x:c>
      <x:c r="E44" s="11" t="n">
        <x:v>2</x:v>
      </x:c>
      <x:c r="F44" s="11" t="n">
        <x:v>100</x:v>
      </x:c>
      <x:c r="G44" s="36" t="n">
        <x:f>D44+2*F44</x:f>
        <x:v>504.92130132216084</x:v>
      </x:c>
      <x:c r="H44" s="29" t="n">
        <x:f>G44*E44/1000</x:f>
        <x:v>1.0098426026443217</x:v>
      </x:c>
      <x:c r="I44" s="11" t="str">
        <x:v>预留100每端是毛料预算，压接和锁定按实际端头核定</x:v>
      </x:c>
      <x:c r="J44" s="2"/>
    </x:row>
    <x:row r="45" ht="42" customHeight="1">
      <x:c r="A45" s="11" t="str">
        <x:v>W3</x:v>
      </x:c>
      <x:c r="B45" s="11" t="str">
        <x:v>扇形装饰拉线</x:v>
      </x:c>
      <x:c r="C45" s="36" t="n">
        <x:v>2.2</x:v>
      </x:c>
      <x:c r="D45" s="36" t="n">
        <x:v>422.4121210382108</x:v>
      </x:c>
      <x:c r="E45" s="11" t="n">
        <x:v>2</x:v>
      </x:c>
      <x:c r="F45" s="11" t="n">
        <x:v>100</x:v>
      </x:c>
      <x:c r="G45" s="36" t="n">
        <x:f>D45+2*F45</x:f>
        <x:v>622.4121210382108</x:v>
      </x:c>
      <x:c r="H45" s="29" t="n">
        <x:f>G45*E45/1000</x:f>
        <x:v>1.2448242420764215</x:v>
      </x:c>
      <x:c r="I45" s="11" t="str">
        <x:v>预留100每端是毛料预算，压接和锁定按实际端头核定</x:v>
      </x:c>
      <x:c r="J45" s="2"/>
    </x:row>
    <x:row r="46" ht="42" customHeight="1">
      <x:c r="A46" s="11" t="str">
        <x:v>W4</x:v>
      </x:c>
      <x:c r="B46" s="11" t="str">
        <x:v>扇形装饰拉线</x:v>
      </x:c>
      <x:c r="C46" s="36" t="n">
        <x:v>2.2</x:v>
      </x:c>
      <x:c r="D46" s="36" t="n">
        <x:v>548.0301086619238</x:v>
      </x:c>
      <x:c r="E46" s="11" t="n">
        <x:v>2</x:v>
      </x:c>
      <x:c r="F46" s="11" t="n">
        <x:v>100</x:v>
      </x:c>
      <x:c r="G46" s="36" t="n">
        <x:f>D46+2*F46</x:f>
        <x:v>748.0301086619238</x:v>
      </x:c>
      <x:c r="H46" s="29" t="n">
        <x:f>G46*E46/1000</x:f>
        <x:v>1.4960602173238475</x:v>
      </x:c>
      <x:c r="I46" s="11" t="str">
        <x:v>预留100每端是毛料预算，压接和锁定按实际端头核定</x:v>
      </x:c>
      <x:c r="J46" s="2"/>
    </x:row>
    <x:row r="47" ht="42" customHeight="1">
      <x:c r="A47" s="11" t="str">
        <x:v>W5</x:v>
      </x:c>
      <x:c r="B47" s="11" t="str">
        <x:v>扇形装饰拉线</x:v>
      </x:c>
      <x:c r="C47" s="36" t="n">
        <x:v>2.2</x:v>
      </x:c>
      <x:c r="D47" s="36" t="n">
        <x:v>677.2680414725029</x:v>
      </x:c>
      <x:c r="E47" s="11" t="n">
        <x:v>2</x:v>
      </x:c>
      <x:c r="F47" s="11" t="n">
        <x:v>100</x:v>
      </x:c>
      <x:c r="G47" s="36" t="n">
        <x:f>D47+2*F47</x:f>
        <x:v>877.2680414725029</x:v>
      </x:c>
      <x:c r="H47" s="29" t="n">
        <x:f>G47*E47/1000</x:f>
        <x:v>1.7545360829450058</x:v>
      </x:c>
      <x:c r="I47" s="11" t="str">
        <x:v>预留100每端是毛料预算，压接和锁定按实际端头核定</x:v>
      </x:c>
      <x:c r="J47" s="2"/>
    </x:row>
    <x:row r="48" ht="42" customHeight="1">
      <x:c r="A48" s="11" t="str">
        <x:v>W6</x:v>
      </x:c>
      <x:c r="B48" s="11" t="str">
        <x:v>后侧长装饰拉线</x:v>
      </x:c>
      <x:c r="C48" s="36" t="n">
        <x:v>3</x:v>
      </x:c>
      <x:c r="D48" s="36" t="n">
        <x:v>1549.1236232141064</x:v>
      </x:c>
      <x:c r="E48" s="11" t="n">
        <x:v>2</x:v>
      </x:c>
      <x:c r="F48" s="11" t="n">
        <x:v>100</x:v>
      </x:c>
      <x:c r="G48" s="36" t="n">
        <x:f>D48+2*F48</x:f>
        <x:v>1749.1236232141064</x:v>
      </x:c>
      <x:c r="H48" s="29" t="n">
        <x:f>G48*E48/1000</x:f>
        <x:v>3.4982472464282126</x:v>
      </x:c>
      <x:c r="I48" s="11" t="str">
        <x:v>预留100每端是毛料预算，压接和锁定按实际端头核定</x:v>
      </x:c>
      <x:c r="J48" s="2"/>
    </x:row>
    <x:row r="49" ht="42" customHeight="1">
      <x:c r="A49" s="12" t="str">
        <x:v>W7</x:v>
      </x:c>
      <x:c r="B49" s="12" t="str">
        <x:v>前侧长装饰拉线</x:v>
      </x:c>
      <x:c r="C49" s="37" t="n">
        <x:v>3</x:v>
      </x:c>
      <x:c r="D49" s="37" t="n">
        <x:v>1593.6699783832285</x:v>
      </x:c>
      <x:c r="E49" s="12" t="n">
        <x:v>2</x:v>
      </x:c>
      <x:c r="F49" s="12" t="n">
        <x:v>100</x:v>
      </x:c>
      <x:c r="G49" s="37" t="n">
        <x:f>D49+2*F49</x:f>
        <x:v>1793.6699783832285</x:v>
      </x:c>
      <x:c r="H49" s="30" t="n">
        <x:f>G49*E49/1000</x:f>
        <x:v>3.587339956766457</x:v>
      </x:c>
      <x:c r="I49" s="12" t="str">
        <x:v>预留100每端是毛料预算，压接和锁定按实际端头核定</x:v>
      </x:c>
      <x:c r="J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</x:row>
    <x:row r="53">
      <x:c r="A53" s="2" t="str">
        <x:v>上层亚克力局部轮廓：左片(0,0)、(640,0)、(700,180)、(640,360)、(0,360)；右片水平镜像。</x:v>
      </x:c>
      <x:c r="B53" s="2"/>
      <x:c r="C53" s="2"/>
      <x:c r="D53" s="2"/>
      <x:c r="E53" s="2"/>
      <x:c r="F53" s="2"/>
      <x:c r="G53" s="2"/>
      <x:c r="H53" s="2"/>
      <x:c r="I53" s="2"/>
      <x:c r="J53" s="2"/>
    </x:row>
    <x:row r="54">
      <x:c r="A54" s="2" t="str">
        <x:v>坐标原点取左片外侧后角，X沿宽、Z沿深。板厚6，左右各1片；该轮廓不包含限位夹和孔位。</x:v>
      </x:c>
      <x:c r="B54" s="2"/>
      <x:c r="C54" s="2"/>
      <x:c r="D54" s="2"/>
      <x:c r="E54" s="2"/>
      <x:c r="F54" s="2"/>
      <x:c r="G54" s="2"/>
      <x:c r="H54" s="2"/>
      <x:c r="I54" s="2"/>
      <x:c r="J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</x:row>
  </x:sheetData>
  <x:pageMargins left="0.7" right="0.7" top="0.75" bottom="0.75" header="0.3" footer="0.3"/>
  <x:tableParts count="3">
    <x:tablePart xmlns:r="http://schemas.openxmlformats.org/officeDocument/2006/relationships" r:id="R760a19c3f0744e8c"/>
    <x:tablePart xmlns:r="http://schemas.openxmlformats.org/officeDocument/2006/relationships" r:id="Rc092a76a70184899"/>
    <x:tablePart xmlns:r="http://schemas.openxmlformats.org/officeDocument/2006/relationships" r:id="R5806727e445845e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10" hidden="0" customWidth="1"/>
    <x:col min="2" max="2" width="28" hidden="0" customWidth="1"/>
    <x:col min="3" max="3" width="11" hidden="0" customWidth="1"/>
    <x:col min="4" max="4" width="13" hidden="0" customWidth="1"/>
    <x:col min="5" max="5" width="14" hidden="0" customWidth="1"/>
    <x:col min="6" max="6" width="13" hidden="0" customWidth="1"/>
    <x:col min="7" max="7" width="14" hidden="0" customWidth="1"/>
    <x:col min="8" max="8" width="13" hidden="0" customWidth="1"/>
    <x:col min="9" max="9" width="14" hidden="0" customWidth="1"/>
    <x:col min="10" max="10" width="13" hidden="0" customWidth="1"/>
    <x:col min="11" max="11" width="14" hidden="0" customWidth="1"/>
    <x:col min="12" max="12" width="42" hidden="0" customWidth="1"/>
    <x:col min="13" max="13" width="42" hidden="0" customWidth="1"/>
    <x:col min="14" max="14" width="1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>
      <x:c r="A2" s="3" t="str">
        <x:v>连接节点与紧固件核定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A3" s="4" t="str">
        <x:v>请供货方先确认槽系、连接件型号和螺栓有效旋入长度，再填写每节点数量。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>
      <x:c r="A4" s="5" t="str">
        <x:v>空白表示尚未核定；不使用某种螺纹请填0。合计按螺纹统计，仍须按长度拆分下单。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>
      <x:c r="A5" s="5" t="str">
        <x:v>螺栓套数合计不能直接等于T母数：槽内T母、穿板螺母、垫圈与防松件须按节点分别配齐。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</x:row>
    <x:row r="7" ht="32" customHeight="1">
      <x:c r="A7" s="8" t="str">
        <x:v>编号</x:v>
      </x:c>
      <x:c r="B7" s="8" t="str">
        <x:v>节点</x:v>
      </x:c>
      <x:c r="C7" s="8" t="str">
        <x:v>节点数</x:v>
      </x:c>
      <x:c r="D7" s="8" t="str">
        <x:v>M8套/节点</x:v>
      </x:c>
      <x:c r="E7" s="8" t="str">
        <x:v>M8合计</x:v>
      </x:c>
      <x:c r="F7" s="8" t="str">
        <x:v>M6套/节点</x:v>
      </x:c>
      <x:c r="G7" s="8" t="str">
        <x:v>M6合计</x:v>
      </x:c>
      <x:c r="H7" s="8" t="str">
        <x:v>M5套/节点</x:v>
      </x:c>
      <x:c r="I7" s="8" t="str">
        <x:v>M5合计</x:v>
      </x:c>
      <x:c r="J7" s="8" t="str">
        <x:v>M4套/节点</x:v>
      </x:c>
      <x:c r="K7" s="8" t="str">
        <x:v>M4合计</x:v>
      </x:c>
      <x:c r="L7" s="8" t="str">
        <x:v>节点说明</x:v>
      </x:c>
      <x:c r="M7" s="8" t="str">
        <x:v>商家型号/长度配置</x:v>
      </x:c>
      <x:c r="N7" s="8" t="str">
        <x:v>节点确认</x:v>
      </x:c>
    </x:row>
    <x:row r="8" ht="48" customHeight="1">
      <x:c r="A8" s="10" t="str">
        <x:v>J01</x:v>
      </x:c>
      <x:c r="B8" s="10" t="str">
        <x:v>底座四角</x:v>
      </x:c>
      <x:c r="C8" s="10" t="n">
        <x:v>4</x:v>
      </x:c>
      <x:c r="D8" s="19"/>
      <x:c r="E8" s="13" t="str">
        <x:f>IF(ISNUMBER(D8),C8*D8,"待定")</x:f>
        <x:v>待定</x:v>
      </x:c>
      <x:c r="F8" s="32"/>
      <x:c r="G8" s="13" t="str">
        <x:f>IF(ISNUMBER(F8),C8*F8,"待定")</x:f>
        <x:v>待定</x:v>
      </x:c>
      <x:c r="H8" s="32"/>
      <x:c r="I8" s="13" t="str">
        <x:f>IF(ISNUMBER(H8),C8*H8,"待定")</x:f>
        <x:v>待定</x:v>
      </x:c>
      <x:c r="J8" s="32"/>
      <x:c r="K8" s="13" t="str">
        <x:f>IF(ISNUMBER(J8),C8*J8,"待定")</x:f>
        <x:v>待定</x:v>
      </x:c>
      <x:c r="L8" s="10" t="str">
        <x:v>4080端部连接，形式待定</x:v>
      </x:c>
      <x:c r="M8" s="19" t="str"/>
      <x:c r="N8" s="19" t="str">
        <x:v>未确认</x:v>
      </x:c>
    </x:row>
    <x:row r="9" ht="48" customHeight="1">
      <x:c r="A9" s="11" t="str">
        <x:v>J02</x:v>
      </x:c>
      <x:c r="B9" s="11" t="str">
        <x:v>底座4根横梁两端</x:v>
      </x:c>
      <x:c r="C9" s="11" t="n">
        <x:v>8</x:v>
      </x:c>
      <x:c r="D9" s="20"/>
      <x:c r="E9" s="14" t="str">
        <x:f>IF(ISNUMBER(D9),C9*D9,"待定")</x:f>
        <x:v>待定</x:v>
      </x:c>
      <x:c r="F9" s="33"/>
      <x:c r="G9" s="14" t="str">
        <x:f>IF(ISNUMBER(F9),C9*F9,"待定")</x:f>
        <x:v>待定</x:v>
      </x:c>
      <x:c r="H9" s="33"/>
      <x:c r="I9" s="14" t="str">
        <x:f>IF(ISNUMBER(H9),C9*H9,"待定")</x:f>
        <x:v>待定</x:v>
      </x:c>
      <x:c r="J9" s="33"/>
      <x:c r="K9" s="14" t="str">
        <x:f>IF(ISNUMBER(J9),C9*J9,"待定")</x:f>
        <x:v>待定</x:v>
      </x:c>
      <x:c r="L9" s="11" t="str">
        <x:v>4080端部连接</x:v>
      </x:c>
      <x:c r="M9" s="20" t="str"/>
      <x:c r="N9" s="20" t="str">
        <x:v>未确认</x:v>
      </x:c>
    </x:row>
    <x:row r="10" ht="48" customHeight="1">
      <x:c r="A10" s="11" t="str">
        <x:v>J03</x:v>
      </x:c>
      <x:c r="B10" s="11" t="str">
        <x:v>主柱脚</x:v>
      </x:c>
      <x:c r="C10" s="11" t="n">
        <x:v>2</x:v>
      </x:c>
      <x:c r="D10" s="20"/>
      <x:c r="E10" s="14" t="str">
        <x:f>IF(ISNUMBER(D10),C10*D10,"待定")</x:f>
        <x:v>待定</x:v>
      </x:c>
      <x:c r="F10" s="33"/>
      <x:c r="G10" s="14" t="str">
        <x:f>IF(ISNUMBER(F10),C10*F10,"待定")</x:f>
        <x:v>待定</x:v>
      </x:c>
      <x:c r="H10" s="33"/>
      <x:c r="I10" s="14" t="str">
        <x:f>IF(ISNUMBER(H10),C10*H10,"待定")</x:f>
        <x:v>待定</x:v>
      </x:c>
      <x:c r="J10" s="33"/>
      <x:c r="K10" s="14" t="str">
        <x:f>IF(ISNUMBER(J10),C10*J10,"待定")</x:f>
        <x:v>待定</x:v>
      </x:c>
      <x:c r="L10" s="11" t="str">
        <x:v>4片三角板另列，按实际板孔配件</x:v>
      </x:c>
      <x:c r="M10" s="20" t="str"/>
      <x:c r="N10" s="20" t="str">
        <x:v>未确认</x:v>
      </x:c>
    </x:row>
    <x:row r="11" ht="48" customHeight="1">
      <x:c r="A11" s="11" t="str">
        <x:v>J04</x:v>
      </x:c>
      <x:c r="B11" s="11" t="str">
        <x:v>电视3横梁两端</x:v>
      </x:c>
      <x:c r="C11" s="11" t="n">
        <x:v>6</x:v>
      </x:c>
      <x:c r="D11" s="20"/>
      <x:c r="E11" s="14" t="str">
        <x:f>IF(ISNUMBER(D11),C11*D11,"待定")</x:f>
        <x:v>待定</x:v>
      </x:c>
      <x:c r="F11" s="33"/>
      <x:c r="G11" s="14" t="str">
        <x:f>IF(ISNUMBER(F11),C11*F11,"待定")</x:f>
        <x:v>待定</x:v>
      </x:c>
      <x:c r="H11" s="33"/>
      <x:c r="I11" s="14" t="str">
        <x:f>IF(ISNUMBER(H11),C11*H11,"待定")</x:f>
        <x:v>待定</x:v>
      </x:c>
      <x:c r="J11" s="33"/>
      <x:c r="K11" s="14" t="str">
        <x:f>IF(ISNUMBER(J11),C11*J11,"待定")</x:f>
        <x:v>待定</x:v>
      </x:c>
      <x:c r="L11" s="11" t="str">
        <x:v>每端6孔参考，含梁侧间隔套</x:v>
      </x:c>
      <x:c r="M11" s="20" t="str"/>
      <x:c r="N11" s="20" t="str">
        <x:v>未确认</x:v>
      </x:c>
    </x:row>
    <x:row r="12" ht="48" customHeight="1">
      <x:c r="A12" s="11" t="str">
        <x:v>J05</x:v>
      </x:c>
      <x:c r="B12" s="11" t="str">
        <x:v>上层前后梁端</x:v>
      </x:c>
      <x:c r="C12" s="11" t="n">
        <x:v>4</x:v>
      </x:c>
      <x:c r="D12" s="20"/>
      <x:c r="E12" s="14" t="str">
        <x:f>IF(ISNUMBER(D12),C12*D12,"待定")</x:f>
        <x:v>待定</x:v>
      </x:c>
      <x:c r="F12" s="33"/>
      <x:c r="G12" s="14" t="str">
        <x:f>IF(ISNUMBER(F12),C12*F12,"待定")</x:f>
        <x:v>待定</x:v>
      </x:c>
      <x:c r="H12" s="33"/>
      <x:c r="I12" s="14" t="str">
        <x:f>IF(ISNUMBER(H12),C12*H12,"待定")</x:f>
        <x:v>待定</x:v>
      </x:c>
      <x:c r="J12" s="33"/>
      <x:c r="K12" s="14" t="str">
        <x:f>IF(ISNUMBER(J12),C12*J12,"待定")</x:f>
        <x:v>待定</x:v>
      </x:c>
      <x:c r="L12" s="11" t="str">
        <x:v>4040连接到侧连接梁</x:v>
      </x:c>
      <x:c r="M12" s="20" t="str"/>
      <x:c r="N12" s="20" t="str">
        <x:v>未确认</x:v>
      </x:c>
    </x:row>
    <x:row r="13" ht="48" customHeight="1">
      <x:c r="A13" s="11" t="str">
        <x:v>J06</x:v>
      </x:c>
      <x:c r="B13" s="11" t="str">
        <x:v>上层侧梁到主柱</x:v>
      </x:c>
      <x:c r="C13" s="11" t="n">
        <x:v>4</x:v>
      </x:c>
      <x:c r="D13" s="20"/>
      <x:c r="E13" s="14" t="str">
        <x:f>IF(ISNUMBER(D13),C13*D13,"待定")</x:f>
        <x:v>待定</x:v>
      </x:c>
      <x:c r="F13" s="33"/>
      <x:c r="G13" s="14" t="str">
        <x:f>IF(ISNUMBER(F13),C13*F13,"待定")</x:f>
        <x:v>待定</x:v>
      </x:c>
      <x:c r="H13" s="33"/>
      <x:c r="I13" s="14" t="str">
        <x:f>IF(ISNUMBER(H13),C13*H13,"待定")</x:f>
        <x:v>待定</x:v>
      </x:c>
      <x:c r="J13" s="33"/>
      <x:c r="K13" s="14" t="str">
        <x:f>IF(ISNUMBER(J13),C13*J13,"待定")</x:f>
        <x:v>待定</x:v>
      </x:c>
      <x:c r="L13" s="11" t="str">
        <x:v>前侧2节点涉及斜撑干涉</x:v>
      </x:c>
      <x:c r="M13" s="20" t="str"/>
      <x:c r="N13" s="20" t="str">
        <x:v>未确认</x:v>
      </x:c>
    </x:row>
    <x:row r="14" ht="48" customHeight="1">
      <x:c r="A14" s="11" t="str">
        <x:v>J07</x:v>
      </x:c>
      <x:c r="B14" s="11" t="str">
        <x:v>收纳短立柱脚</x:v>
      </x:c>
      <x:c r="C14" s="11" t="n">
        <x:v>4</x:v>
      </x:c>
      <x:c r="D14" s="20"/>
      <x:c r="E14" s="14" t="str">
        <x:f>IF(ISNUMBER(D14),C14*D14,"待定")</x:f>
        <x:v>待定</x:v>
      </x:c>
      <x:c r="F14" s="33"/>
      <x:c r="G14" s="14" t="str">
        <x:f>IF(ISNUMBER(F14),C14*F14,"待定")</x:f>
        <x:v>待定</x:v>
      </x:c>
      <x:c r="H14" s="33"/>
      <x:c r="I14" s="14" t="str">
        <x:f>IF(ISNUMBER(H14),C14*H14,"待定")</x:f>
        <x:v>待定</x:v>
      </x:c>
      <x:c r="J14" s="33"/>
      <x:c r="K14" s="14" t="str">
        <x:f>IF(ISNUMBER(J14),C14*J14,"待定")</x:f>
        <x:v>待定</x:v>
      </x:c>
      <x:c r="L14" s="11" t="str">
        <x:v>4040柱脚到底座</x:v>
      </x:c>
      <x:c r="M14" s="20" t="str"/>
      <x:c r="N14" s="20" t="str">
        <x:v>未确认</x:v>
      </x:c>
    </x:row>
    <x:row r="15" ht="48" customHeight="1">
      <x:c r="A15" s="11" t="str">
        <x:v>J08</x:v>
      </x:c>
      <x:c r="B15" s="11" t="str">
        <x:v>收纳短立柱顶</x:v>
      </x:c>
      <x:c r="C15" s="11" t="n">
        <x:v>4</x:v>
      </x:c>
      <x:c r="D15" s="20"/>
      <x:c r="E15" s="14" t="str">
        <x:f>IF(ISNUMBER(D15),C15*D15,"待定")</x:f>
        <x:v>待定</x:v>
      </x:c>
      <x:c r="F15" s="33"/>
      <x:c r="G15" s="14" t="str">
        <x:f>IF(ISNUMBER(F15),C15*F15,"待定")</x:f>
        <x:v>待定</x:v>
      </x:c>
      <x:c r="H15" s="33"/>
      <x:c r="I15" s="14" t="str">
        <x:f>IF(ISNUMBER(H15),C15*H15,"待定")</x:f>
        <x:v>待定</x:v>
      </x:c>
      <x:c r="J15" s="33"/>
      <x:c r="K15" s="14" t="str">
        <x:f>IF(ISNUMBER(J15),C15*J15,"待定")</x:f>
        <x:v>待定</x:v>
      </x:c>
      <x:c r="L15" s="11" t="str">
        <x:v>4040柱顶到上层横梁</x:v>
      </x:c>
      <x:c r="M15" s="20" t="str"/>
      <x:c r="N15" s="20" t="str">
        <x:v>未确认</x:v>
      </x:c>
    </x:row>
    <x:row r="16" ht="48" customHeight="1">
      <x:c r="A16" s="11" t="str">
        <x:v>J09</x:v>
      </x:c>
      <x:c r="B16" s="11" t="str">
        <x:v>篮底长梁两端</x:v>
      </x:c>
      <x:c r="C16" s="11" t="n">
        <x:v>4</x:v>
      </x:c>
      <x:c r="D16" s="20"/>
      <x:c r="E16" s="14" t="str">
        <x:f>IF(ISNUMBER(D16),C16*D16,"待定")</x:f>
        <x:v>待定</x:v>
      </x:c>
      <x:c r="F16" s="33"/>
      <x:c r="G16" s="14" t="str">
        <x:f>IF(ISNUMBER(F16),C16*F16,"待定")</x:f>
        <x:v>待定</x:v>
      </x:c>
      <x:c r="H16" s="33"/>
      <x:c r="I16" s="14" t="str">
        <x:f>IF(ISNUMBER(H16),C16*H16,"待定")</x:f>
        <x:v>待定</x:v>
      </x:c>
      <x:c r="J16" s="33"/>
      <x:c r="K16" s="14" t="str">
        <x:f>IF(ISNUMBER(J16),C16*J16,"待定")</x:f>
        <x:v>待定</x:v>
      </x:c>
      <x:c r="L16" s="11" t="str">
        <x:v>4040到4080底座横梁</x:v>
      </x:c>
      <x:c r="M16" s="20" t="str"/>
      <x:c r="N16" s="20" t="str">
        <x:v>未确认</x:v>
      </x:c>
    </x:row>
    <x:row r="17" ht="48" customHeight="1">
      <x:c r="A17" s="11" t="str">
        <x:v>J10</x:v>
      </x:c>
      <x:c r="B17" s="11" t="str">
        <x:v>篮底7根横托两端</x:v>
      </x:c>
      <x:c r="C17" s="11" t="n">
        <x:v>14</x:v>
      </x:c>
      <x:c r="D17" s="20"/>
      <x:c r="E17" s="14" t="str">
        <x:f>IF(ISNUMBER(D17),C17*D17,"待定")</x:f>
        <x:v>待定</x:v>
      </x:c>
      <x:c r="F17" s="33"/>
      <x:c r="G17" s="14" t="str">
        <x:f>IF(ISNUMBER(F17),C17*F17,"待定")</x:f>
        <x:v>待定</x:v>
      </x:c>
      <x:c r="H17" s="33"/>
      <x:c r="I17" s="14" t="str">
        <x:f>IF(ISNUMBER(H17),C17*H17,"待定")</x:f>
        <x:v>待定</x:v>
      </x:c>
      <x:c r="J17" s="33"/>
      <x:c r="K17" s="14" t="str">
        <x:f>IF(ISNUMBER(J17),C17*J17,"待定")</x:f>
        <x:v>待定</x:v>
      </x:c>
      <x:c r="L17" s="11" t="str">
        <x:v>4040到4040</x:v>
      </x:c>
      <x:c r="M17" s="20" t="str"/>
      <x:c r="N17" s="20" t="str">
        <x:v>未确认</x:v>
      </x:c>
    </x:row>
    <x:row r="18" ht="48" customHeight="1">
      <x:c r="A18" s="11" t="str">
        <x:v>J11</x:v>
      </x:c>
      <x:c r="B18" s="11" t="str">
        <x:v>6根亚克力横托两端</x:v>
      </x:c>
      <x:c r="C18" s="11" t="n">
        <x:v>12</x:v>
      </x:c>
      <x:c r="D18" s="20"/>
      <x:c r="E18" s="14" t="str">
        <x:f>IF(ISNUMBER(D18),C18*D18,"待定")</x:f>
        <x:v>待定</x:v>
      </x:c>
      <x:c r="F18" s="33"/>
      <x:c r="G18" s="14" t="str">
        <x:f>IF(ISNUMBER(F18),C18*F18,"待定")</x:f>
        <x:v>待定</x:v>
      </x:c>
      <x:c r="H18" s="33"/>
      <x:c r="I18" s="14" t="str">
        <x:f>IF(ISNUMBER(H18),C18*H18,"待定")</x:f>
        <x:v>待定</x:v>
      </x:c>
      <x:c r="J18" s="33"/>
      <x:c r="K18" s="14" t="str">
        <x:f>IF(ISNUMBER(J18),C18*J18,"待定")</x:f>
        <x:v>待定</x:v>
      </x:c>
      <x:c r="L18" s="11" t="str">
        <x:v>2020到4040，槽系需分别匹配</x:v>
      </x:c>
      <x:c r="M18" s="20" t="str"/>
      <x:c r="N18" s="20" t="str">
        <x:v>未确认</x:v>
      </x:c>
    </x:row>
    <x:row r="19" ht="48" customHeight="1">
      <x:c r="A19" s="11" t="str">
        <x:v>J12</x:v>
      </x:c>
      <x:c r="B19" s="11" t="str">
        <x:v>2根拉线短塔脚</x:v>
      </x:c>
      <x:c r="C19" s="11" t="n">
        <x:v>2</x:v>
      </x:c>
      <x:c r="D19" s="20"/>
      <x:c r="E19" s="14" t="str">
        <x:f>IF(ISNUMBER(D19),C19*D19,"待定")</x:f>
        <x:v>待定</x:v>
      </x:c>
      <x:c r="F19" s="33"/>
      <x:c r="G19" s="14" t="str">
        <x:f>IF(ISNUMBER(F19),C19*F19,"待定")</x:f>
        <x:v>待定</x:v>
      </x:c>
      <x:c r="H19" s="33"/>
      <x:c r="I19" s="14" t="str">
        <x:f>IF(ISNUMBER(H19),C19*H19,"待定")</x:f>
        <x:v>待定</x:v>
      </x:c>
      <x:c r="J19" s="33"/>
      <x:c r="K19" s="14" t="str">
        <x:f>IF(ISNUMBER(J19),C19*J19,"待定")</x:f>
        <x:v>待定</x:v>
      </x:c>
      <x:c r="L19" s="11" t="str">
        <x:v>4040上叠节点，含可靠金属固定</x:v>
      </x:c>
      <x:c r="M19" s="20" t="str"/>
      <x:c r="N19" s="20" t="str">
        <x:v>未确认</x:v>
      </x:c>
    </x:row>
    <x:row r="20" ht="48" customHeight="1">
      <x:c r="A20" s="11" t="str">
        <x:v>J13</x:v>
      </x:c>
      <x:c r="B20" s="11" t="str">
        <x:v>4根侧斜撑两端</x:v>
      </x:c>
      <x:c r="C20" s="11" t="n">
        <x:v>8</x:v>
      </x:c>
      <x:c r="D20" s="20"/>
      <x:c r="E20" s="14" t="str">
        <x:f>IF(ISNUMBER(D20),C20*D20,"待定")</x:f>
        <x:v>待定</x:v>
      </x:c>
      <x:c r="F20" s="33"/>
      <x:c r="G20" s="14" t="str">
        <x:f>IF(ISNUMBER(F20),C20*F20,"待定")</x:f>
        <x:v>待定</x:v>
      </x:c>
      <x:c r="H20" s="33"/>
      <x:c r="I20" s="14" t="str">
        <x:f>IF(ISNUMBER(H20),C20*H20,"待定")</x:f>
        <x:v>待定</x:v>
      </x:c>
      <x:c r="J20" s="33"/>
      <x:c r="K20" s="14" t="str">
        <x:f>IF(ISNUMBER(J20),C20*J20,"待定")</x:f>
        <x:v>待定</x:v>
      </x:c>
      <x:c r="L20" s="11" t="str">
        <x:v>3030可调斜撑座，位置待修正</x:v>
      </x:c>
      <x:c r="M20" s="20" t="str"/>
      <x:c r="N20" s="20" t="str">
        <x:v>未确认</x:v>
      </x:c>
    </x:row>
    <x:row r="21" ht="48" customHeight="1">
      <x:c r="A21" s="11" t="str">
        <x:v>J14</x:v>
      </x:c>
      <x:c r="B21" s="11" t="str">
        <x:v>2根交叉钢带两端</x:v>
      </x:c>
      <x:c r="C21" s="11" t="n">
        <x:v>4</x:v>
      </x:c>
      <x:c r="D21" s="20"/>
      <x:c r="E21" s="14" t="str">
        <x:f>IF(ISNUMBER(D21),C21*D21,"待定")</x:f>
        <x:v>待定</x:v>
      </x:c>
      <x:c r="F21" s="33"/>
      <x:c r="G21" s="14" t="str">
        <x:f>IF(ISNUMBER(F21),C21*F21,"待定")</x:f>
        <x:v>待定</x:v>
      </x:c>
      <x:c r="H21" s="33"/>
      <x:c r="I21" s="14" t="str">
        <x:f>IF(ISNUMBER(H21),C21*H21,"待定")</x:f>
        <x:v>待定</x:v>
      </x:c>
      <x:c r="J21" s="33"/>
      <x:c r="K21" s="14" t="str">
        <x:f>IF(ISNUMBER(J21),C21*J21,"待定")</x:f>
        <x:v>待定</x:v>
      </x:c>
      <x:c r="L21" s="11" t="str">
        <x:v>金属拉带端部固定，包含调节预留</x:v>
      </x:c>
      <x:c r="M21" s="20" t="str"/>
      <x:c r="N21" s="20" t="str">
        <x:v>未确认</x:v>
      </x:c>
    </x:row>
    <x:row r="22" ht="48" customHeight="1">
      <x:c r="A22" s="11" t="str">
        <x:v>J15</x:v>
      </x:c>
      <x:c r="B22" s="11" t="str">
        <x:v>洞洞板安装点</x:v>
      </x:c>
      <x:c r="C22" s="11" t="n">
        <x:v>12</x:v>
      </x:c>
      <x:c r="D22" s="20"/>
      <x:c r="E22" s="14" t="str">
        <x:f>IF(ISNUMBER(D22),C22*D22,"待定")</x:f>
        <x:v>待定</x:v>
      </x:c>
      <x:c r="F22" s="33"/>
      <x:c r="G22" s="14" t="str">
        <x:f>IF(ISNUMBER(F22),C22*F22,"待定")</x:f>
        <x:v>待定</x:v>
      </x:c>
      <x:c r="H22" s="33"/>
      <x:c r="I22" s="14" t="str">
        <x:f>IF(ISNUMBER(H22),C22*H22,"待定")</x:f>
        <x:v>待定</x:v>
      </x:c>
      <x:c r="J22" s="33"/>
      <x:c r="K22" s="14" t="str">
        <x:f>IF(ISNUMBER(J22),C22*J22,"待定")</x:f>
        <x:v>待定</x:v>
      </x:c>
      <x:c r="L22" s="11" t="str">
        <x:v>12套间隔组件，板侧与框侧紧固分开</x:v>
      </x:c>
      <x:c r="M22" s="20" t="str"/>
      <x:c r="N22" s="20" t="str">
        <x:v>未确认</x:v>
      </x:c>
    </x:row>
    <x:row r="23" ht="48" customHeight="1">
      <x:c r="A23" s="11" t="str">
        <x:v>J16</x:v>
      </x:c>
      <x:c r="B23" s="11" t="str">
        <x:v>转接板到型材</x:v>
      </x:c>
      <x:c r="C23" s="11" t="n">
        <x:v>4</x:v>
      </x:c>
      <x:c r="D23" s="20"/>
      <x:c r="E23" s="14" t="str">
        <x:f>IF(ISNUMBER(D23),C23*D23,"待定")</x:f>
        <x:v>待定</x:v>
      </x:c>
      <x:c r="F23" s="33"/>
      <x:c r="G23" s="14" t="str">
        <x:f>IF(ISNUMBER(F23),C23*F23,"待定")</x:f>
        <x:v>待定</x:v>
      </x:c>
      <x:c r="H23" s="33"/>
      <x:c r="I23" s="14" t="str">
        <x:f>IF(ISNUMBER(H23),C23*H23,"待定")</x:f>
        <x:v>待定</x:v>
      </x:c>
      <x:c r="J23" s="33"/>
      <x:c r="K23" s="14" t="str">
        <x:f>IF(ISNUMBER(J23),C23*J23,"待定")</x:f>
        <x:v>待定</x:v>
      </x:c>
      <x:c r="L23" s="11" t="str">
        <x:v>固定孔需重画，不与轮孔混用</x:v>
      </x:c>
      <x:c r="M23" s="20" t="str"/>
      <x:c r="N23" s="20" t="str">
        <x:v>未确认</x:v>
      </x:c>
    </x:row>
    <x:row r="24" ht="48" customHeight="1">
      <x:c r="A24" s="11" t="str">
        <x:v>J17</x:v>
      </x:c>
      <x:c r="B24" s="11" t="str">
        <x:v>脚轮到转接板</x:v>
      </x:c>
      <x:c r="C24" s="11" t="n">
        <x:v>4</x:v>
      </x:c>
      <x:c r="D24" s="20"/>
      <x:c r="E24" s="14" t="str">
        <x:f>IF(ISNUMBER(D24),C24*D24,"待定")</x:f>
        <x:v>待定</x:v>
      </x:c>
      <x:c r="F24" s="33"/>
      <x:c r="G24" s="14" t="str">
        <x:f>IF(ISNUMBER(F24),C24*F24,"待定")</x:f>
        <x:v>待定</x:v>
      </x:c>
      <x:c r="H24" s="33"/>
      <x:c r="I24" s="14" t="str">
        <x:f>IF(ISNUMBER(H24),C24*H24,"待定")</x:f>
        <x:v>待定</x:v>
      </x:c>
      <x:c r="J24" s="33"/>
      <x:c r="K24" s="14" t="str">
        <x:f>IF(ISNUMBER(J24),C24*J24,"待定")</x:f>
        <x:v>待定</x:v>
      </x:c>
      <x:c r="L24" s="11" t="str">
        <x:v>每节点4套普通穿板紧固件参考</x:v>
      </x:c>
      <x:c r="M24" s="20" t="str"/>
      <x:c r="N24" s="20" t="str">
        <x:v>未确认</x:v>
      </x:c>
    </x:row>
    <x:row r="25" ht="48" customHeight="1">
      <x:c r="A25" s="11" t="str">
        <x:v>J18</x:v>
      </x:c>
      <x:c r="B25" s="11" t="str">
        <x:v>驻车脚安装座</x:v>
      </x:c>
      <x:c r="C25" s="11" t="n">
        <x:v>4</x:v>
      </x:c>
      <x:c r="D25" s="20"/>
      <x:c r="E25" s="14" t="str">
        <x:f>IF(ISNUMBER(D25),C25*D25,"待定")</x:f>
        <x:v>待定</x:v>
      </x:c>
      <x:c r="F25" s="33"/>
      <x:c r="G25" s="14" t="str">
        <x:f>IF(ISNUMBER(F25),C25*F25,"待定")</x:f>
        <x:v>待定</x:v>
      </x:c>
      <x:c r="H25" s="33"/>
      <x:c r="I25" s="14" t="str">
        <x:f>IF(ISNUMBER(H25),C25*H25,"待定")</x:f>
        <x:v>待定</x:v>
      </x:c>
      <x:c r="J25" s="33"/>
      <x:c r="K25" s="14" t="str">
        <x:f>IF(ISNUMBER(J25),C25*J25,"待定")</x:f>
        <x:v>待定</x:v>
      </x:c>
      <x:c r="L25" s="11" t="str">
        <x:v>螺杆锁紧与槽位固定分别核对</x:v>
      </x:c>
      <x:c r="M25" s="20" t="str"/>
      <x:c r="N25" s="20" t="str">
        <x:v>未确认</x:v>
      </x:c>
    </x:row>
    <x:row r="26" ht="48" customHeight="1">
      <x:c r="A26" s="11" t="str">
        <x:v>J19</x:v>
      </x:c>
      <x:c r="B26" s="11" t="str">
        <x:v>两侧小托板支臂</x:v>
      </x:c>
      <x:c r="C26" s="11" t="n">
        <x:v>4</x:v>
      </x:c>
      <x:c r="D26" s="20"/>
      <x:c r="E26" s="14" t="str">
        <x:f>IF(ISNUMBER(D26),C26*D26,"待定")</x:f>
        <x:v>待定</x:v>
      </x:c>
      <x:c r="F26" s="33"/>
      <x:c r="G26" s="14" t="str">
        <x:f>IF(ISNUMBER(F26),C26*F26,"待定")</x:f>
        <x:v>待定</x:v>
      </x:c>
      <x:c r="H26" s="33"/>
      <x:c r="I26" s="14" t="str">
        <x:f>IF(ISNUMBER(H26),C26*H26,"待定")</x:f>
        <x:v>待定</x:v>
      </x:c>
      <x:c r="J26" s="33"/>
      <x:c r="K26" s="14" t="str">
        <x:f>IF(ISNUMBER(J26),C26*J26,"待定")</x:f>
        <x:v>待定</x:v>
      </x:c>
      <x:c r="L26" s="11" t="str">
        <x:v>下方2处与斜撑干涉</x:v>
      </x:c>
      <x:c r="M26" s="20" t="str"/>
      <x:c r="N26" s="20" t="str">
        <x:v>未确认</x:v>
      </x:c>
    </x:row>
    <x:row r="27" ht="48" customHeight="1">
      <x:c r="A27" s="11" t="str">
        <x:v>J20</x:v>
      </x:c>
      <x:c r="B27" s="11" t="str">
        <x:v>推把组件</x:v>
      </x:c>
      <x:c r="C27" s="11" t="n">
        <x:v>2</x:v>
      </x:c>
      <x:c r="D27" s="20"/>
      <x:c r="E27" s="14" t="str">
        <x:f>IF(ISNUMBER(D27),C27*D27,"待定")</x:f>
        <x:v>待定</x:v>
      </x:c>
      <x:c r="F27" s="33"/>
      <x:c r="G27" s="14" t="str">
        <x:f>IF(ISNUMBER(F27),C27*F27,"待定")</x:f>
        <x:v>待定</x:v>
      </x:c>
      <x:c r="H27" s="33"/>
      <x:c r="I27" s="14" t="str">
        <x:f>IF(ISNUMBER(H27),C27*H27,"待定")</x:f>
        <x:v>待定</x:v>
      </x:c>
      <x:c r="J27" s="33"/>
      <x:c r="K27" s="14" t="str">
        <x:f>IF(ISNUMBER(J27),C27*J27,"待定")</x:f>
        <x:v>待定</x:v>
      </x:c>
      <x:c r="L27" s="11" t="str">
        <x:v>每组件上下固定臂</x:v>
      </x:c>
      <x:c r="M27" s="20" t="str"/>
      <x:c r="N27" s="20" t="str">
        <x:v>未确认</x:v>
      </x:c>
    </x:row>
    <x:row r="28" ht="48" customHeight="1">
      <x:c r="A28" s="11" t="str">
        <x:v>J21</x:v>
      </x:c>
      <x:c r="B28" s="11" t="str">
        <x:v>装饰面条固定点</x:v>
      </x:c>
      <x:c r="C28" s="11" t="n">
        <x:v>10</x:v>
      </x:c>
      <x:c r="D28" s="20"/>
      <x:c r="E28" s="14" t="str">
        <x:f>IF(ISNUMBER(D28),C28*D28,"待定")</x:f>
        <x:v>待定</x:v>
      </x:c>
      <x:c r="F28" s="33"/>
      <x:c r="G28" s="14" t="str">
        <x:f>IF(ISNUMBER(F28),C28*F28,"待定")</x:f>
        <x:v>待定</x:v>
      </x:c>
      <x:c r="H28" s="33"/>
      <x:c r="I28" s="14" t="str">
        <x:f>IF(ISNUMBER(H28),C28*H28,"待定")</x:f>
        <x:v>待定</x:v>
      </x:c>
      <x:c r="J28" s="33"/>
      <x:c r="K28" s="14" t="str">
        <x:f>IF(ISNUMBER(J28),C28*J28,"待定")</x:f>
        <x:v>待定</x:v>
      </x:c>
      <x:c r="L28" s="11" t="str">
        <x:v>软垫/宽垫/小间隔件，勿硬压PMMA</x:v>
      </x:c>
      <x:c r="M28" s="20" t="str"/>
      <x:c r="N28" s="20" t="str">
        <x:v>未确认</x:v>
      </x:c>
    </x:row>
    <x:row r="29" ht="48" customHeight="1">
      <x:c r="A29" s="11" t="str">
        <x:v>J22</x:v>
      </x:c>
      <x:c r="B29" s="11" t="str">
        <x:v>上层软限位夹</x:v>
      </x:c>
      <x:c r="C29" s="11" t="n">
        <x:v>8</x:v>
      </x:c>
      <x:c r="D29" s="20"/>
      <x:c r="E29" s="14" t="str">
        <x:f>IF(ISNUMBER(D29),C29*D29,"待定")</x:f>
        <x:v>待定</x:v>
      </x:c>
      <x:c r="F29" s="33"/>
      <x:c r="G29" s="14" t="str">
        <x:f>IF(ISNUMBER(F29),C29*F29,"待定")</x:f>
        <x:v>待定</x:v>
      </x:c>
      <x:c r="H29" s="33"/>
      <x:c r="I29" s="14" t="str">
        <x:f>IF(ISNUMBER(H29),C29*H29,"待定")</x:f>
        <x:v>待定</x:v>
      </x:c>
      <x:c r="J29" s="33"/>
      <x:c r="K29" s="14" t="str">
        <x:f>IF(ISNUMBER(J29),C29*J29,"待定")</x:f>
        <x:v>待定</x:v>
      </x:c>
      <x:c r="L29" s="11" t="str">
        <x:v>不按塑料板自攻螺丝固定</x:v>
      </x:c>
      <x:c r="M29" s="20" t="str"/>
      <x:c r="N29" s="20" t="str">
        <x:v>未确认</x:v>
      </x:c>
    </x:row>
    <x:row r="30" ht="48" customHeight="1">
      <x:c r="A30" s="11" t="str">
        <x:v>J23</x:v>
      </x:c>
      <x:c r="B30" s="11" t="str">
        <x:v>设备金属承板固定点</x:v>
      </x:c>
      <x:c r="C30" s="11" t="n">
        <x:v>10</x:v>
      </x:c>
      <x:c r="D30" s="20"/>
      <x:c r="E30" s="14" t="str">
        <x:f>IF(ISNUMBER(D30),C30*D30,"待定")</x:f>
        <x:v>待定</x:v>
      </x:c>
      <x:c r="F30" s="33"/>
      <x:c r="G30" s="14" t="str">
        <x:f>IF(ISNUMBER(F30),C30*F30,"待定")</x:f>
        <x:v>待定</x:v>
      </x:c>
      <x:c r="H30" s="33"/>
      <x:c r="I30" s="14" t="str">
        <x:f>IF(ISNUMBER(H30),C30*H30,"待定")</x:f>
        <x:v>待定</x:v>
      </x:c>
      <x:c r="J30" s="33"/>
      <x:c r="K30" s="14" t="str">
        <x:f>IF(ISNUMBER(J30),C30*J30,"待定")</x:f>
        <x:v>待定</x:v>
      </x:c>
      <x:c r="L30" s="11" t="str">
        <x:v>PS5 6点与Apple TV 4点为预选</x:v>
      </x:c>
      <x:c r="M30" s="20" t="str"/>
      <x:c r="N30" s="20" t="str">
        <x:v>未确认</x:v>
      </x:c>
    </x:row>
    <x:row r="31" ht="48" customHeight="1">
      <x:c r="A31" s="11" t="str">
        <x:v>J24</x:v>
      </x:c>
      <x:c r="B31" s="11" t="str">
        <x:v>拉线金属锚座</x:v>
      </x:c>
      <x:c r="C31" s="11" t="n">
        <x:v>20</x:v>
      </x:c>
      <x:c r="D31" s="20"/>
      <x:c r="E31" s="14" t="str">
        <x:f>IF(ISNUMBER(D31),C31*D31,"待定")</x:f>
        <x:v>待定</x:v>
      </x:c>
      <x:c r="F31" s="33"/>
      <x:c r="G31" s="14" t="str">
        <x:f>IF(ISNUMBER(F31),C31*F31,"待定")</x:f>
        <x:v>待定</x:v>
      </x:c>
      <x:c r="H31" s="33"/>
      <x:c r="I31" s="14" t="str">
        <x:f>IF(ISNUMBER(H31),C31*H31,"待定")</x:f>
        <x:v>待定</x:v>
      </x:c>
      <x:c r="J31" s="33"/>
      <x:c r="K31" s="14" t="str">
        <x:f>IF(ISNUMBER(J31),C31*J31,"待定")</x:f>
        <x:v>待定</x:v>
      </x:c>
      <x:c r="L31" s="11" t="str">
        <x:v>18单索座+2五孔分线座，丝端组件另列</x:v>
      </x:c>
      <x:c r="M31" s="20" t="str"/>
      <x:c r="N31" s="20" t="str">
        <x:v>未确认</x:v>
      </x:c>
    </x:row>
    <x:row r="32" ht="48" customHeight="1">
      <x:c r="A32" s="11" t="str">
        <x:v>J25</x:v>
      </x:c>
      <x:c r="B32" s="11" t="str">
        <x:v>电视挂架到承重横梁</x:v>
      </x:c>
      <x:c r="C32" s="11" t="n">
        <x:v>4</x:v>
      </x:c>
      <x:c r="D32" s="20"/>
      <x:c r="E32" s="14" t="str">
        <x:f>IF(ISNUMBER(D32),C32*D32,"待定")</x:f>
        <x:v>待定</x:v>
      </x:c>
      <x:c r="F32" s="33"/>
      <x:c r="G32" s="14" t="str">
        <x:f>IF(ISNUMBER(F32),C32*F32,"待定")</x:f>
        <x:v>待定</x:v>
      </x:c>
      <x:c r="H32" s="33"/>
      <x:c r="I32" s="14" t="str">
        <x:f>IF(ISNUMBER(H32),C32*H32,"待定")</x:f>
        <x:v>待定</x:v>
      </x:c>
      <x:c r="J32" s="33"/>
      <x:c r="K32" s="14" t="str">
        <x:f>IF(ISNUMBER(J32),C32*J32,"待定")</x:f>
        <x:v>待定</x:v>
      </x:c>
      <x:c r="L32" s="11" t="str">
        <x:v>示意2挂臂上下各1节点，必须由挂架/型材厂家确认实际接口</x:v>
      </x:c>
      <x:c r="M32" s="20" t="str"/>
      <x:c r="N32" s="20" t="str">
        <x:v>未确认</x:v>
      </x:c>
    </x:row>
    <x:row r="33" ht="48" customHeight="1">
      <x:c r="A33" s="12" t="str">
        <x:v>J26</x:v>
      </x:c>
      <x:c r="B33" s="12" t="str">
        <x:v>金属篮体到型材框</x:v>
      </x:c>
      <x:c r="C33" s="12" t="n">
        <x:v>4</x:v>
      </x:c>
      <x:c r="D33" s="21"/>
      <x:c r="E33" s="15" t="str">
        <x:f>IF(ISNUMBER(D33),C33*D33,"待定")</x:f>
        <x:v>待定</x:v>
      </x:c>
      <x:c r="F33" s="34"/>
      <x:c r="G33" s="15" t="str">
        <x:f>IF(ISNUMBER(F33),C33*F33,"待定")</x:f>
        <x:v>待定</x:v>
      </x:c>
      <x:c r="H33" s="34"/>
      <x:c r="I33" s="15" t="str">
        <x:f>IF(ISNUMBER(H33),C33*H33,"待定")</x:f>
        <x:v>待定</x:v>
      </x:c>
      <x:c r="J33" s="34"/>
      <x:c r="K33" s="15" t="str">
        <x:f>IF(ISNUMBER(J33),C33*J33,"待定")</x:f>
        <x:v>待定</x:v>
      </x:c>
      <x:c r="L33" s="12" t="str">
        <x:v>前后各2夹座参考，篮体采购时配齐防跳连接</x:v>
      </x:c>
      <x:c r="M33" s="21" t="str"/>
      <x:c r="N33" s="21" t="str">
        <x:v>未确认</x:v>
      </x:c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>
      <x:c r="A35" s="2"/>
      <x:c r="B35" s="2" t="str">
        <x:v>确认后螺纹合计</x:v>
      </x:c>
      <x:c r="C35" s="2"/>
      <x:c r="D35" s="2"/>
      <x:c r="E35" s="2" t="str">
        <x:f>IF(COUNTIFS(N8:N33,"&lt;&gt;已确认")&gt;0,"待节点确认",IF(COUNTBLANK(D8:D33)&gt;0,"待填数量",SUM(E8:E33)))</x:f>
        <x:v>待节点确认</x:v>
      </x:c>
      <x:c r="F35" s="2"/>
      <x:c r="G35" s="2" t="str">
        <x:f>IF(COUNTIFS(N8:N33,"&lt;&gt;已确认")&gt;0,"待节点确认",IF(COUNTBLANK(F8:F33)&gt;0,"待填数量",SUM(G8:G33)))</x:f>
        <x:v>待节点确认</x:v>
      </x:c>
      <x:c r="H35" s="2"/>
      <x:c r="I35" s="2" t="str">
        <x:f>IF(COUNTIFS(N8:N33,"&lt;&gt;已确认")&gt;0,"待节点确认",IF(COUNTBLANK(H8:H33)&gt;0,"待填数量",SUM(I8:I33)))</x:f>
        <x:v>待节点确认</x:v>
      </x:c>
      <x:c r="J35" s="2"/>
      <x:c r="K35" s="2" t="str">
        <x:f>IF(COUNTIFS(N8:N33,"&lt;&gt;已确认")&gt;0,"待节点确认",IF(COUNTBLANK(J8:J33)&gt;0,"待填数量",SUM(K8:K33)))</x:f>
        <x:v>待节点确认</x:v>
      </x:c>
      <x:c r="L35" s="2"/>
      <x:c r="M35" s="2"/>
      <x:c r="N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</x:sheetData>
  <x:conditionalFormatting sqref="N8:N33">
    <x:cfRule type="containsText" dxfId="2" priority="1" operator="containsText" text="需修"/>
    <x:cfRule type="containsText" dxfId="3" priority="2" operator="containsText" text="待"/>
  </x:conditionalFormatting>
  <x:dataValidations count="5">
    <x:dataValidation type="whole" operator="between" sqref="D8:D33">
      <x:formula1>0</x:formula1>
      <x:formula2>100</x:formula2>
    </x:dataValidation>
    <x:dataValidation type="whole" operator="between" sqref="F8:F33">
      <x:formula1>0</x:formula1>
      <x:formula2>100</x:formula2>
    </x:dataValidation>
    <x:dataValidation type="whole" operator="between" sqref="H8:H33">
      <x:formula1>0</x:formula1>
      <x:formula2>100</x:formula2>
    </x:dataValidation>
    <x:dataValidation type="whole" operator="between" sqref="J8:J33">
      <x:formula1>0</x:formula1>
      <x:formula2>100</x:formula2>
    </x:dataValidation>
    <x:dataValidation type="list" sqref="N8:N33">
      <x:formula1>"未确认,已确认,需修改"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e5d853172174be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0" hidden="0" customWidth="1"/>
    <x:col min="2" max="2" width="26" hidden="0" customWidth="1"/>
    <x:col min="3" max="3" width="40" hidden="0" customWidth="1"/>
    <x:col min="4" max="4" width="85" hidden="0" customWidth="1"/>
    <x:col min="5" max="5" width="83" hidden="0" customWidth="1"/>
  </x:cols>
  <x:sheetData>
    <x:row r="1">
      <x:c r="A1" s="2"/>
      <x:c r="B1" s="2"/>
      <x:c r="C1" s="2"/>
      <x:c r="D1" s="2"/>
      <x:c r="E1" s="2"/>
    </x:row>
    <x:row r="2">
      <x:c r="A2" s="3" t="str">
        <x:v>核对结果与依据</x:v>
      </x:c>
      <x:c r="B2" s="2"/>
      <x:c r="C2" s="2"/>
      <x:c r="D2" s="2"/>
      <x:c r="E2" s="2"/>
    </x:row>
    <x:row r="3">
      <x:c r="A3" s="4" t="str">
        <x:v>核对未全部通过。4处斜撑干涉、侧板开孔与实体连接配置解决前，不作为加工放行单。</x:v>
      </x:c>
      <x:c r="B3" s="2"/>
      <x:c r="C3" s="2"/>
      <x:c r="D3" s="2"/>
      <x:c r="E3" s="2"/>
    </x:row>
    <x:row r="4">
      <x:c r="A4" s="5" t="str">
        <x:v>本次包括材料数量、几何连接和官方参数复核；未完成实际强度、满载移动或浏览器验收。</x:v>
      </x:c>
      <x:c r="B4" s="2"/>
      <x:c r="C4" s="2"/>
      <x:c r="D4" s="2"/>
      <x:c r="E4" s="2"/>
    </x:row>
    <x:row r="5">
      <x:c r="A5" s="2"/>
      <x:c r="B5" s="2"/>
      <x:c r="C5" s="2"/>
      <x:c r="D5" s="2"/>
      <x:c r="E5" s="2"/>
    </x:row>
    <x:row r="6">
      <x:c r="A6" s="2"/>
      <x:c r="B6" s="2"/>
      <x:c r="C6" s="2"/>
      <x:c r="D6" s="2"/>
      <x:c r="E6" s="2"/>
    </x:row>
    <x:row r="7" ht="32" customHeight="1">
      <x:c r="A7" s="8" t="str">
        <x:v>编号</x:v>
      </x:c>
      <x:c r="B7" s="8" t="str">
        <x:v>结果</x:v>
      </x:c>
      <x:c r="C7" s="8" t="str">
        <x:v>核对项目</x:v>
      </x:c>
      <x:c r="D7" s="8" t="str">
        <x:v>值或范围</x:v>
      </x:c>
      <x:c r="E7" s="8" t="str">
        <x:v>发现与处理</x:v>
      </x:c>
    </x:row>
    <x:row r="8" ht="54" customHeight="1">
      <x:c r="A8" s="10" t="str">
        <x:v>A01</x:v>
      </x:c>
      <x:c r="B8" s="10" t="str">
        <x:v>通过</x:v>
      </x:c>
      <x:c r="C8" s="10" t="str">
        <x:v>外轮廓</x:v>
      </x:c>
      <x:c r="D8" s="10" t="str">
        <x:v>2400 × 800 × 1880</x:v>
      </x:c>
      <x:c r="E8" s="10" t="str">
        <x:v>与V9模型一致；轮/盖/托板计入。</x:v>
      </x:c>
    </x:row>
    <x:row r="9" ht="54" customHeight="1">
      <x:c r="A9" s="11" t="str">
        <x:v>A02</x:v>
      </x:c>
      <x:c r="B9" s="11" t="str">
        <x:v>通过</x:v>
      </x:c>
      <x:c r="C9" s="11" t="str">
        <x:v>轴向型材数量</x:v>
      </x:c>
      <x:c r="D9" s="11" t="str">
        <x:v>40件；33.516 m</x:v>
      </x:c>
      <x:c r="E9" s="11" t="str">
        <x:v>另有4根3030侧斜撑；排除电视、设备、手办和五金占位体。</x:v>
      </x:c>
    </x:row>
    <x:row r="10" ht="54" customHeight="1">
      <x:c r="A10" s="11" t="str">
        <x:v>A03</x:v>
      </x:c>
      <x:c r="B10" s="11" t="str">
        <x:v>通过</x:v>
      </x:c>
      <x:c r="C10" s="11" t="str">
        <x:v>轴向型材相交</x:v>
      </x:c>
      <x:c r="D10" s="11" t="str">
        <x:v>0处</x:v>
      </x:c>
      <x:c r="E10" s="11" t="str">
        <x:v>型材互相接触不计碰撞，正体积相交才计入。</x:v>
      </x:c>
    </x:row>
    <x:row r="11" ht="54" customHeight="1">
      <x:c r="A11" s="11" t="str">
        <x:v>A04</x:v>
      </x:c>
      <x:c r="B11" s="11" t="str">
        <x:v>需修正</x:v>
      </x:c>
      <x:c r="C11" s="11" t="str">
        <x:v>侧斜撑与上层连接梁</x:v>
      </x:c>
      <x:c r="D11" s="11" t="str">
        <x:v>2处</x:v>
      </x:c>
      <x:c r="E11" s="11" t="str">
        <x:v>两根前斜撑穿过离地520的侧连接梁，须调整斜撑/连接位置并补节点图。</x:v>
      </x:c>
    </x:row>
    <x:row r="12" ht="54" customHeight="1">
      <x:c r="A12" s="11" t="str">
        <x:v>A05</x:v>
      </x:c>
      <x:c r="B12" s="11" t="str">
        <x:v>需修正</x:v>
      </x:c>
      <x:c r="C12" s="11" t="str">
        <x:v>侧斜撑与侧托板</x:v>
      </x:c>
      <x:c r="D12" s="11" t="str">
        <x:v>2处</x:v>
      </x:c>
      <x:c r="E12" s="11" t="str">
        <x:v>两根前斜撑穿过830高侧托板；现有14×18穿线孔只能避让细拉线，不能避让30×30斜撑。</x:v>
      </x:c>
    </x:row>
    <x:row r="13" ht="54" customHeight="1">
      <x:c r="A13" s="11" t="str">
        <x:v>A06</x:v>
      </x:c>
      <x:c r="B13" s="11" t="str">
        <x:v>待确认</x:v>
      </x:c>
      <x:c r="C13" s="11" t="str">
        <x:v>4080/4040槽系与节点</x:v>
      </x:c>
      <x:c r="D13" s="11" t="str">
        <x:v>未锁定</x:v>
      </x:c>
      <x:c r="E13" s="11" t="str">
        <x:v>同厂同槽系；实际截面、孔位、螺栓长度及端部连接方式确认后再冻结切割表。</x:v>
      </x:c>
    </x:row>
    <x:row r="14" ht="54" customHeight="1">
      <x:c r="A14" s="11" t="str">
        <x:v>A07</x:v>
      </x:c>
      <x:c r="B14" s="11" t="str">
        <x:v>待确认</x:v>
      </x:c>
      <x:c r="C14" s="11" t="str">
        <x:v>电视挂架与VESA</x:v>
      </x:c>
      <x:c r="D14" s="11" t="str">
        <x:v>机身1890×1101×53，39 kg</x:v>
      </x:c>
      <x:c r="E14" s="11" t="str">
        <x:v>机身官方参数已复核，VESA/螺纹/旋入深度未确认；模型60×560挂臂不作自制承重件下单。</x:v>
      </x:c>
    </x:row>
    <x:row r="15" ht="54" customHeight="1">
      <x:c r="A15" s="11" t="str">
        <x:v>A08</x:v>
      </x:c>
      <x:c r="B15" s="11" t="str">
        <x:v>待确认</x:v>
      </x:c>
      <x:c r="C15" s="11" t="str">
        <x:v>脚轮及安装板</x:v>
      </x:c>
      <x:c r="D15" s="11" t="str">
        <x:v>4只Ø125；本体150；总安装160</x:v>
      </x:c>
      <x:c r="E15" s="11" t="str">
        <x:v>单轮动态承载≥200kg、优先250kg级为预选；实物完整回转半径≤115，顶板及固定孔另核。</x:v>
      </x:c>
    </x:row>
    <x:row r="16" ht="54" customHeight="1">
      <x:c r="A16" s="11" t="str">
        <x:v>A09</x:v>
      </x:c>
      <x:c r="B16" s="11" t="str">
        <x:v>通过</x:v>
      </x:c>
      <x:c r="C16" s="11" t="str">
        <x:v>PS5预留与取放</x:v>
      </x:c>
      <x:c r="D16" s="11" t="str">
        <x:v>500×300×150；51个采样无碰撞</x:v>
      </x:c>
      <x:c r="E16" s="11" t="str">
        <x:v>设备尚未选定；后门打开、拔线、抬升15后向后取出；轮迹与斜撑节点调整后须复查。</x:v>
      </x:c>
    </x:row>
    <x:row r="17" ht="54" customHeight="1">
      <x:c r="A17" s="11" t="str">
        <x:v>A10</x:v>
      </x:c>
      <x:c r="B17" s="11" t="str">
        <x:v>通过</x:v>
      </x:c>
      <x:c r="C17" s="11" t="str">
        <x:v>脚轮回转</x:v>
      </x:c>
      <x:c r="D17" s="11" t="str">
        <x:v>288个采样无框架碰撞</x:v>
      </x:c>
      <x:c r="E17" s="11" t="str">
        <x:v>仅适用于所画简化脚轮，实际刹车/方向锁需按所选产品CAD复核。</x:v>
      </x:c>
    </x:row>
    <x:row r="18" ht="54" customHeight="1">
      <x:c r="A18" s="11" t="str">
        <x:v>A11</x:v>
      </x:c>
      <x:c r="B18" s="11" t="str">
        <x:v>通过</x:v>
      </x:c>
      <x:c r="C18" s="11" t="str">
        <x:v>亚克力内嵌</x:v>
      </x:c>
      <x:c r="D18" s="11" t="str">
        <x:v>板深360；净深380；前后各10</x:v>
      </x:c>
      <x:c r="E18" s="11" t="str">
        <x:v>板面540与横梁齐平，下方六根2020横托。</x:v>
      </x:c>
    </x:row>
    <x:row r="19" ht="54" customHeight="1">
      <x:c r="A19" s="11" t="str">
        <x:v>A12</x:v>
      </x:c>
      <x:c r="B19" s="11" t="str">
        <x:v>通过</x:v>
      </x:c>
      <x:c r="C19" s="11" t="str">
        <x:v>手办与电视</x:v>
      </x:c>
      <x:c r="D19" s="11" t="str">
        <x:v>手办180；上方50</x:v>
      </x:c>
      <x:c r="E19" s="11" t="str">
        <x:v>限含底座180，换更高手办需重排。</x:v>
      </x:c>
    </x:row>
    <x:row r="20" ht="54" customHeight="1">
      <x:c r="A20" s="11" t="str">
        <x:v>A13</x:v>
      </x:c>
      <x:c r="B20" s="11" t="str">
        <x:v>通过</x:v>
      </x:c>
      <x:c r="C20" s="11" t="str">
        <x:v>扇形拉线</x:v>
      </x:c>
      <x:c r="D20" s="11" t="str">
        <x:v>10根；塔顶740；屏下间隙30</x:v>
      </x:c>
      <x:c r="E20" s="11" t="str">
        <x:v>线平面在手办后侧，最近166.44；不计入主结构承载。</x:v>
      </x:c>
    </x:row>
    <x:row r="21" ht="54" customHeight="1">
      <x:c r="A21" s="11" t="str">
        <x:v>A14</x:v>
      </x:c>
      <x:c r="B21" s="11" t="str">
        <x:v>需修正</x:v>
      </x:c>
      <x:c r="C21" s="11" t="str">
        <x:v>侧托板细拉线孔边距</x:v>
      </x:c>
      <x:c r="D21" s="11" t="str">
        <x:v>孔中心到前边20.22；长孔外包18</x:v>
      </x:c>
      <x:c r="E21" s="11" t="str">
        <x:v>按18孔径作保守筛查，1.5D为27，20.22不足；长圆孔及斜撑让位必须由板厂另定。</x:v>
      </x:c>
    </x:row>
    <x:row r="22" ht="54" customHeight="1">
      <x:c r="A22" s="11" t="str">
        <x:v>A15</x:v>
      </x:c>
      <x:c r="B22" s="11" t="str">
        <x:v>待确认</x:v>
      </x:c>
      <x:c r="C22" s="11" t="str">
        <x:v>结构交叉拉带与洞洞板</x:v>
      </x:c>
      <x:c r="D22" s="11" t="str">
        <x:v>名义间隙2；节点板间隙1.5</x:v>
      </x:c>
      <x:c r="E22" s="11" t="str">
        <x:v>公差、折弯和实际紧线器会占位，需由加工方复核，不能把名义间隙当装配保证。</x:v>
      </x:c>
    </x:row>
    <x:row r="23" ht="54" customHeight="1">
      <x:c r="A23" s="11" t="str">
        <x:v>A16</x:v>
      </x:c>
      <x:c r="B23" s="11" t="str">
        <x:v>待确认</x:v>
      </x:c>
      <x:c r="C23" s="11" t="str">
        <x:v>设备防滑/网门/挡片</x:v>
      </x:c>
      <x:c r="D23" s="11" t="str">
        <x:v>需要补齐成套五金</x:v>
      </x:c>
      <x:c r="E23" s="11" t="str">
        <x:v>网门铰链4、锁扣2；PS5防滑限位与快拆固定，避免压通风口。</x:v>
      </x:c>
    </x:row>
    <x:row r="24" ht="54" customHeight="1">
      <x:c r="A24" s="11" t="str">
        <x:v>A17</x:v>
      </x:c>
      <x:c r="B24" s="11" t="str">
        <x:v>待确认</x:v>
      </x:c>
      <x:c r="C24" s="11" t="str">
        <x:v>实物承载与13mm毯边</x:v>
      </x:c>
      <x:c r="D24" s="11" t="str">
        <x:v>未试验</x:v>
      </x:c>
      <x:c r="E24" s="11" t="str">
        <x:v>250kg是满载估算边界，非额定承重；毯边过渡和实际转向/制动必须配重验证。</x:v>
      </x:c>
    </x:row>
    <x:row r="25" ht="54" customHeight="1">
      <x:c r="A25" s="11" t="str">
        <x:v>A18</x:v>
      </x:c>
      <x:c r="B25" s="11" t="str">
        <x:v>待确认</x:v>
      </x:c>
      <x:c r="C25" s="11" t="str">
        <x:v>五根扇形线汇索节点</x:v>
      </x:c>
      <x:c r="D25" s="11" t="str">
        <x:v>每塔5索共用一处起点</x:v>
      </x:c>
      <x:c r="E25" s="11" t="str">
        <x:v>模型叠画眼环不能直接制造；补2套分线座并重新核对端头空间。</x:v>
      </x:c>
    </x:row>
    <x:row r="26" ht="54" customHeight="1">
      <x:c r="A26" s="11" t="str">
        <x:v>A19</x:v>
      </x:c>
      <x:c r="B26" s="11" t="str">
        <x:v>待确认</x:v>
      </x:c>
      <x:c r="C26" s="11" t="str">
        <x:v>螺栓/T母采购数量</x:v>
      </x:c>
      <x:c r="D26" s="11" t="str">
        <x:v>连接形式及长度未锁定</x:v>
      </x:c>
      <x:c r="E26" s="11" t="str">
        <x:v>已给节点数和可填写数量栏；不把示意小圆柱当采购螺丝。</x:v>
      </x:c>
    </x:row>
    <x:row r="27" ht="54" customHeight="1">
      <x:c r="A27" s="12" t="str">
        <x:v>A20</x:v>
      </x:c>
      <x:c r="B27" s="12" t="str">
        <x:v>通过</x:v>
      </x:c>
      <x:c r="C27" s="12" t="str">
        <x:v>采购漏项核对</x:v>
      </x:c>
      <x:c r="D27" s="12" t="str">
        <x:v>主框、板篮、轮脚、节点、拉索、收纳和走线均列出</x:v>
      </x:c>
      <x:c r="E27" s="12" t="str">
        <x:v>补列机械防脱、后门限位、设备可拆固定；电视和游戏设备本体不重复计入。</x:v>
      </x:c>
    </x:row>
    <x:row r="28">
      <x:c r="A28" s="2"/>
      <x:c r="B28" s="2"/>
      <x:c r="C28" s="2"/>
      <x:c r="D28" s="2"/>
      <x:c r="E28" s="2"/>
    </x:row>
    <x:row r="29">
      <x:c r="A29" s="2"/>
      <x:c r="B29" s="2"/>
      <x:c r="C29" s="2"/>
      <x:c r="D29" s="2"/>
      <x:c r="E29" s="2"/>
    </x:row>
    <x:row r="30">
      <x:c r="A30" s="2"/>
      <x:c r="B30" s="2"/>
      <x:c r="C30" s="2"/>
      <x:c r="D30" s="2"/>
      <x:c r="E30" s="2"/>
    </x:row>
    <x:row r="31" ht="32" customHeight="1">
      <x:c r="A31" s="8" t="str">
        <x:v>编号</x:v>
      </x:c>
      <x:c r="B31" s="8" t="str">
        <x:v>来源</x:v>
      </x:c>
      <x:c r="C31" s="8" t="str">
        <x:v>核对内容</x:v>
      </x:c>
      <x:c r="D31" s="8" t="str">
        <x:v>网址</x:v>
      </x:c>
      <x:c r="E31" s="8" t="str">
        <x:v>采用范围</x:v>
      </x:c>
    </x:row>
    <x:row r="32" ht="64" customHeight="1">
      <x:c r="A32" s="10" t="str">
        <x:v>S00</x:v>
      </x:c>
      <x:c r="B32" s="10" t="str">
        <x:v>V9设计及模型</x:v>
      </x:c>
      <x:c r="C32" s="10" t="str">
        <x:v>已发布V9源与本次模型提取</x:v>
      </x:c>
      <x:c r="D32" s="10" t="str">
        <x:v>https://github.com/misslamajay/home-renovation/blob/a40c87e229dbf74dd4a5d166f708bb11d8141198/index.html</x:v>
      </x:c>
      <x:c r="E32" s="10" t="str">
        <x:v>本次几何计数、名义尺寸与节点分析。</x:v>
      </x:c>
    </x:row>
    <x:row r="33" ht="64" customHeight="1">
      <x:c r="A33" s="11" t="str">
        <x:v>S01</x:v>
      </x:c>
      <x:c r="B33" s="11" t="str">
        <x:v>海信官方商城</x:v>
      </x:c>
      <x:c r="C33" s="11" t="str">
        <x:v>85E7S-PRO尺寸与重量</x:v>
      </x:c>
      <x:c r="D33" s="11" t="str">
        <x:v>https://mall.hisense.com/items/6844</x:v>
      </x:c>
      <x:c r="E33" s="11" t="str">
        <x:v>不含底座1890×1101×53，39kg；VESA与旋入深度未提供。</x:v>
      </x:c>
    </x:row>
    <x:row r="34" ht="64" customHeight="1">
      <x:c r="A34" s="11" t="str">
        <x:v>S02</x:v>
      </x:c>
      <x:c r="B34" s="11" t="str">
        <x:v>Blickle品牌CAD门户</x:v>
      </x:c>
      <x:c r="C34" s="11" t="str">
        <x:v>L-PATH 125KF-FI，759142</x:v>
      </x:c>
      <x:c r="D34" s="11" t="str">
        <x:v>https://blickle.partcommunity.com/3d-cad-models/759142-l-path-125kf-fi-blickle?info=blickle/polyurethan-laufbelag/759142.prj</x:v>
      </x:c>
      <x:c r="E34" s="11" t="str">
        <x:v>Ø125，轮宽32，本体150，动态250kg，顶板100×85；仅为参数存在性参考。</x:v>
      </x:c>
    </x:row>
    <x:row r="35" ht="64" customHeight="1">
      <x:c r="A35" s="11" t="str">
        <x:v>S03</x:v>
      </x:c>
      <x:c r="B35" s="11" t="str">
        <x:v>PlayStation官方</x:v>
      </x:c>
      <x:c r="C35" s="11" t="str">
        <x:v>初代PS5光驱版外形</x:v>
      </x:c>
      <x:c r="D35" s="11" t="str">
        <x:v>https://blog.fr.playstation.com/2020/11/09/ps5-la-faq-ultime/</x:v>
      </x:c>
      <x:c r="E35" s="11" t="str">
        <x:v>约390×104×260，不含底座；按更大初代机预留。</x:v>
      </x:c>
    </x:row>
    <x:row r="36" ht="64" customHeight="1">
      <x:c r="A36" s="11" t="str">
        <x:v>S04</x:v>
      </x:c>
      <x:c r="B36" s="11" t="str">
        <x:v>PlayStation支持</x:v>
      </x:c>
      <x:c r="C36" s="11" t="str">
        <x:v>PS5通风建议</x:v>
      </x:c>
      <x:c r="D36" s="11" t="str">
        <x:v>https://www.playstation.com/en-us/support/hardware/ps5-console-noise/</x:v>
      </x:c>
      <x:c r="E36" s="11" t="str">
        <x:v>各侧至少10cm，侧后通风口不受阻；实际底座和布线另核。</x:v>
      </x:c>
    </x:row>
    <x:row r="37" ht="64" customHeight="1">
      <x:c r="A37" s="11" t="str">
        <x:v>S05</x:v>
      </x:c>
      <x:c r="B37" s="11" t="str">
        <x:v>Apple技术规格</x:v>
      </x:c>
      <x:c r="C37" s="11" t="str">
        <x:v>Apple TV 4K第3代</x:v>
      </x:c>
      <x:c r="D37" s="11" t="str">
        <x:v>https://support.apple.com/en-in/111839</x:v>
      </x:c>
      <x:c r="E37" s="11" t="str">
        <x:v>宽深93，高31；未选定设备，不保证未来机型相同。</x:v>
      </x:c>
    </x:row>
    <x:row r="38" ht="64" customHeight="1">
      <x:c r="A38" s="12" t="str">
        <x:v>S06</x:v>
      </x:c>
      <x:c r="B38" s="12" t="str">
        <x:v>ACRYLITE制造指南</x:v>
      </x:c>
      <x:c r="C38" s="12" t="str">
        <x:v>孔中心到板边的钻孔建议</x:v>
      </x:c>
      <x:c r="D38" s="12" t="str">
        <x:v>https://www.acrylite.co/resources/fabrication-manuals/drilling-acrylite-acrylic-sheet</x:v>
      </x:c>
      <x:c r="E38" s="12" t="str">
        <x:v>孔中心距边至少1.5倍圆孔直径；对14×18长孔使用18外包只是保守筛查。</x:v>
      </x:c>
    </x:row>
    <x:row r="39">
      <x:c r="A39" s="2"/>
      <x:c r="B39" s="2"/>
      <x:c r="C39" s="2"/>
      <x:c r="D39" s="2"/>
      <x:c r="E39" s="2"/>
    </x:row>
    <x:row r="40">
      <x:c r="A40" s="2"/>
      <x:c r="B40" s="2"/>
      <x:c r="C40" s="2"/>
      <x:c r="D40" s="2"/>
      <x:c r="E40" s="2"/>
    </x:row>
    <x:row r="41">
      <x:c r="A41" s="2"/>
      <x:c r="B41" s="2"/>
      <x:c r="C41" s="2"/>
      <x:c r="D41" s="2"/>
      <x:c r="E41" s="2"/>
    </x:row>
    <x:row r="42">
      <x:c r="A42" s="2"/>
      <x:c r="B42" s="2"/>
      <x:c r="C42" s="2"/>
      <x:c r="D42" s="2"/>
      <x:c r="E42" s="2"/>
    </x:row>
    <x:row r="43">
      <x:c r="A43" s="2"/>
      <x:c r="B43" s="2"/>
      <x:c r="C43" s="2"/>
      <x:c r="D43" s="2"/>
      <x:c r="E43" s="2"/>
    </x:row>
    <x:row r="44">
      <x:c r="A44" s="2"/>
      <x:c r="B44" s="2"/>
      <x:c r="C44" s="2"/>
      <x:c r="D44" s="2"/>
      <x:c r="E44" s="2"/>
    </x:row>
    <x:row r="45">
      <x:c r="A45" s="2"/>
      <x:c r="B45" s="2"/>
      <x:c r="C45" s="2"/>
      <x:c r="D45" s="2"/>
      <x:c r="E45" s="2"/>
    </x:row>
    <x:row r="46">
      <x:c r="A46" s="2"/>
      <x:c r="B46" s="2"/>
      <x:c r="C46" s="2"/>
      <x:c r="D46" s="2"/>
      <x:c r="E46" s="2"/>
    </x:row>
    <x:row r="47">
      <x:c r="A47" s="2"/>
      <x:c r="B47" s="2"/>
      <x:c r="C47" s="2"/>
      <x:c r="D47" s="2"/>
      <x:c r="E47" s="2"/>
    </x:row>
    <x:row r="48">
      <x:c r="A48" s="2"/>
      <x:c r="B48" s="2"/>
      <x:c r="C48" s="2"/>
      <x:c r="D48" s="2"/>
      <x:c r="E48" s="2"/>
    </x:row>
    <x:row r="49">
      <x:c r="A49" s="2"/>
      <x:c r="B49" s="2"/>
      <x:c r="C49" s="2"/>
      <x:c r="D49" s="2"/>
      <x:c r="E49" s="2"/>
    </x:row>
    <x:row r="50">
      <x:c r="A50" s="2"/>
      <x:c r="B50" s="2"/>
      <x:c r="C50" s="2"/>
      <x:c r="D50" s="2"/>
      <x:c r="E50" s="2"/>
    </x:row>
    <x:row r="51">
      <x:c r="A51" s="2"/>
      <x:c r="B51" s="2"/>
      <x:c r="C51" s="2"/>
      <x:c r="D51" s="2"/>
      <x:c r="E51" s="2"/>
    </x:row>
    <x:row r="52">
      <x:c r="A52" s="2"/>
      <x:c r="B52" s="2"/>
      <x:c r="C52" s="2"/>
      <x:c r="D52" s="2"/>
      <x:c r="E52" s="2"/>
    </x:row>
    <x:row r="53">
      <x:c r="A53" s="2"/>
      <x:c r="B53" s="2"/>
      <x:c r="C53" s="2"/>
      <x:c r="D53" s="2"/>
      <x:c r="E53" s="2"/>
    </x:row>
    <x:row r="54">
      <x:c r="A54" s="2"/>
      <x:c r="B54" s="2"/>
      <x:c r="C54" s="2"/>
      <x:c r="D54" s="2"/>
      <x:c r="E54" s="2"/>
    </x:row>
    <x:row r="55">
      <x:c r="A55" s="2"/>
      <x:c r="B55" s="2"/>
      <x:c r="C55" s="2"/>
      <x:c r="D55" s="2"/>
      <x:c r="E55" s="2"/>
    </x:row>
    <x:row r="56">
      <x:c r="A56" s="2"/>
      <x:c r="B56" s="2"/>
      <x:c r="C56" s="2"/>
      <x:c r="D56" s="2"/>
      <x:c r="E56" s="2"/>
    </x:row>
    <x:row r="57">
      <x:c r="A57" s="2"/>
      <x:c r="B57" s="2"/>
      <x:c r="C57" s="2"/>
      <x:c r="D57" s="2"/>
      <x:c r="E57" s="2"/>
    </x:row>
    <x:row r="58">
      <x:c r="A58" s="2"/>
      <x:c r="B58" s="2"/>
      <x:c r="C58" s="2"/>
      <x:c r="D58" s="2"/>
      <x:c r="E58" s="2"/>
    </x:row>
    <x:row r="59">
      <x:c r="A59" s="2"/>
      <x:c r="B59" s="2"/>
      <x:c r="C59" s="2"/>
      <x:c r="D59" s="2"/>
      <x:c r="E59" s="2"/>
    </x:row>
    <x:row r="60">
      <x:c r="A60" s="2"/>
      <x:c r="B60" s="2"/>
      <x:c r="C60" s="2"/>
      <x:c r="D60" s="2"/>
      <x:c r="E60" s="2"/>
    </x:row>
    <x:row r="61">
      <x:c r="A61" s="2"/>
      <x:c r="B61" s="2"/>
      <x:c r="C61" s="2"/>
      <x:c r="D61" s="2"/>
      <x:c r="E61" s="2"/>
    </x:row>
    <x:row r="62">
      <x:c r="A62" s="2"/>
      <x:c r="B62" s="2"/>
      <x:c r="C62" s="2"/>
      <x:c r="D62" s="2"/>
      <x:c r="E62" s="2"/>
    </x:row>
    <x:row r="63">
      <x:c r="A63" s="2"/>
      <x:c r="B63" s="2"/>
      <x:c r="C63" s="2"/>
      <x:c r="D63" s="2"/>
      <x:c r="E63" s="2"/>
    </x:row>
    <x:row r="64">
      <x:c r="A64" s="2"/>
      <x:c r="B64" s="2"/>
      <x:c r="C64" s="2"/>
      <x:c r="D64" s="2"/>
      <x:c r="E64" s="2"/>
    </x:row>
    <x:row r="65">
      <x:c r="A65" s="2"/>
      <x:c r="B65" s="2"/>
      <x:c r="C65" s="2"/>
      <x:c r="D65" s="2"/>
      <x:c r="E65" s="2"/>
    </x:row>
  </x:sheetData>
  <x:conditionalFormatting sqref="B8:B27">
    <x:cfRule type="containsText" dxfId="4" priority="1" operator="containsText" text="需修"/>
    <x:cfRule type="containsText" dxfId="5" priority="2" operator="containsText" text="待"/>
  </x:conditionalFormatting>
  <x:pageMargins left="0.7" right="0.7" top="0.75" bottom="0.75" header="0.3" footer="0.3"/>
  <x:tableParts count="2">
    <x:tablePart xmlns:r="http://schemas.openxmlformats.org/officeDocument/2006/relationships" r:id="R890074f75c3c427b"/>
    <x:tablePart xmlns:r="http://schemas.openxmlformats.org/officeDocument/2006/relationships" r:id="R852c1c51af8146ce"/>
  </x:tableParts>
</x:worksheet>
</file>